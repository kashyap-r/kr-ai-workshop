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hecklist" sheetId="1" state="visible" r:id="rId1"/>
    <sheet xmlns:r="http://schemas.openxmlformats.org/officeDocument/2006/relationships" name="Detailed Plan" sheetId="2" state="visible" r:id="rId2"/>
    <sheet xmlns:r="http://schemas.openxmlformats.org/officeDocument/2006/relationships" name="Architecture Coverage" sheetId="3" state="visible" r:id="rId3"/>
    <sheet xmlns:r="http://schemas.openxmlformats.org/officeDocument/2006/relationships" name="Technology Plan" sheetId="4" state="visible" r:id="rId4"/>
    <sheet xmlns:r="http://schemas.openxmlformats.org/officeDocument/2006/relationships" name="Progress Dashboard" sheetId="5" state="visible" r:id="rId5"/>
    <sheet xmlns:r="http://schemas.openxmlformats.org/officeDocument/2006/relationships" name="Project Principles" sheetId="6" state="visible" r:id="rId6"/>
  </sheets>
  <definedNames>
    <definedName name="_xlnm._FilterDatabase" localSheetId="0" hidden="1">'Master Checklist'!$A$4:$J$31</definedName>
    <definedName name="_xlnm._FilterDatabase" localSheetId="1" hidden="1">'Detailed Plan'!$A$3:$H$47</definedName>
    <definedName name="_xlnm._FilterDatabase" localSheetId="2" hidden="1">'Architecture Coverage'!$A$3:$G$22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1F1F1F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D9EAF7"/>
      </patternFill>
    </fill>
    <fill>
      <patternFill patternType="solid">
        <fgColor rgb="00E4DFE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AF2F8"/>
      </patternFill>
    </fill>
    <fill>
      <patternFill patternType="solid">
        <fgColor rgb="00F4ECF7"/>
      </patternFill>
    </fill>
    <fill>
      <patternFill patternType="solid">
        <fgColor rgb="00E8F8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3" fillId="2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MasterChecklistTable" displayName="MasterChecklistTable" ref="A4:J31" headerRowCount="1">
  <autoFilter ref="A4:J31"/>
  <tableColumns count="10">
    <tableColumn id="1" name="ID"/>
    <tableColumn id="2" name="Major Component"/>
    <tableColumn id="3" name="Milestone"/>
    <tableColumn id="4" name="Primary Deliverable"/>
    <tableColumn id="5" name="Python"/>
    <tableColumn id="6" name="TypeScript"/>
    <tableColumn id="7" name="Status"/>
    <tableColumn id="8" name="Progress %"/>
    <tableColumn id="9" name="Dependencies"/>
    <tableColumn id="10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DetailedPlanTable" displayName="DetailedPlanTable" ref="A3:H47" headerRowCount="1">
  <autoFilter ref="A3:H47"/>
  <tableColumns count="8">
    <tableColumn id="1" name="Milestone"/>
    <tableColumn id="2" name="Step"/>
    <tableColumn id="3" name="Task"/>
    <tableColumn id="4" name="Implementation / Experiment A"/>
    <tableColumn id="5" name="Implementation / Experiment B"/>
    <tableColumn id="6" name="Production Engineering Focus"/>
    <tableColumn id="7" name="Exit Criteria"/>
    <tableColumn id="8" name="Statu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ArchitectureCoverageTable" displayName="ArchitectureCoverageTable" ref="A3:G22" headerRowCount="1">
  <autoFilter ref="A3:G22"/>
  <tableColumns count="7">
    <tableColumn id="1" name="Architecture Area"/>
    <tableColumn id="2" name="Diagram Step"/>
    <tableColumn id="3" name="What We Implement"/>
    <tableColumn id="4" name="Minimum Demos"/>
    <tableColumn id="5" name="Advanced Evolution"/>
    <tableColumn id="6" name="Primary Language"/>
    <tableColumn id="7" name="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echnologyPlanTable" displayName="TechnologyPlanTable" ref="A3:F13" headerRowCount="1">
  <autoFilter ref="A3:F13"/>
  <tableColumns count="6">
    <tableColumn id="1" name="Layer"/>
    <tableColumn id="2" name="Python Choice"/>
    <tableColumn id="3" name="TypeScript Choice"/>
    <tableColumn id="4" name="Initial Recommendation"/>
    <tableColumn id="5" name="Why"/>
    <tableColumn id="6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58" customWidth="1" min="4" max="4"/>
    <col width="12" customWidth="1" min="5" max="5"/>
    <col width="12" customWidth="1" min="6" max="6"/>
    <col width="16" customWidth="1" min="7" max="7"/>
    <col width="12" customWidth="1" min="8" max="8"/>
    <col width="16" customWidth="1" min="9" max="9"/>
    <col width="38" customWidth="1" min="10" max="10"/>
  </cols>
  <sheetData>
    <row r="1">
      <c r="A1" s="1" t="inlineStr">
        <is>
          <t>Production RAG Engineering — Milestone Tracker</t>
        </is>
      </c>
    </row>
    <row r="2">
      <c r="A2" s="2" t="inlineStr">
        <is>
          <t>Goal: Build the architecture in the supplied RAG diagram from fundamentals → production-grade RAG → enterprise/agentic evolution.</t>
        </is>
      </c>
    </row>
    <row r="4">
      <c r="A4" s="3" t="inlineStr">
        <is>
          <t>ID</t>
        </is>
      </c>
      <c r="B4" s="3" t="inlineStr">
        <is>
          <t>Major Component</t>
        </is>
      </c>
      <c r="C4" s="3" t="inlineStr">
        <is>
          <t>Milestone</t>
        </is>
      </c>
      <c r="D4" s="3" t="inlineStr">
        <is>
          <t>Primary Deliverable</t>
        </is>
      </c>
      <c r="E4" s="3" t="inlineStr">
        <is>
          <t>Python</t>
        </is>
      </c>
      <c r="F4" s="3" t="inlineStr">
        <is>
          <t>TypeScript</t>
        </is>
      </c>
      <c r="G4" s="3" t="inlineStr">
        <is>
          <t>Status</t>
        </is>
      </c>
      <c r="H4" s="3" t="inlineStr">
        <is>
          <t>Progress %</t>
        </is>
      </c>
      <c r="I4" s="3" t="inlineStr">
        <is>
          <t>Dependencies</t>
        </is>
      </c>
      <c r="J4" s="3" t="inlineStr">
        <is>
          <t>Notes</t>
        </is>
      </c>
    </row>
    <row r="5">
      <c r="A5" s="4" t="inlineStr">
        <is>
          <t>M0</t>
        </is>
      </c>
      <c r="B5" s="5" t="inlineStr">
        <is>
          <t>Foundation</t>
        </is>
      </c>
      <c r="C5" s="4" t="inlineStr">
        <is>
          <t>Project foundation &amp; engineering standards</t>
        </is>
      </c>
      <c r="D5" s="4" t="inlineStr">
        <is>
          <t>Repo structure, environments, config, logging, errors, typing, linting, tests, CI baseline</t>
        </is>
      </c>
      <c r="E5" s="4" t="inlineStr">
        <is>
          <t>Primary</t>
        </is>
      </c>
      <c r="F5" s="4" t="inlineStr">
        <is>
          <t>Secondary</t>
        </is>
      </c>
      <c r="G5" s="4" t="inlineStr">
        <is>
          <t>Not Started</t>
        </is>
      </c>
      <c r="H5" s="6" t="n">
        <v>0</v>
      </c>
      <c r="I5" s="4" t="inlineStr">
        <is>
          <t>-</t>
        </is>
      </c>
      <c r="J5" s="4" t="inlineStr">
        <is>
          <t>Production-quality baseline from day one</t>
        </is>
      </c>
    </row>
    <row r="6">
      <c r="A6" s="4" t="inlineStr">
        <is>
          <t>M1</t>
        </is>
      </c>
      <c r="B6" s="7" t="inlineStr">
        <is>
          <t>Ingestion &amp; Indexing</t>
        </is>
      </c>
      <c r="C6" s="4" t="inlineStr">
        <is>
          <t>Data Sources</t>
        </is>
      </c>
      <c r="D6" s="4" t="inlineStr">
        <is>
          <t>Local PDF/DOCX/TXT + web pages; normalized source contract</t>
        </is>
      </c>
      <c r="E6" s="4" t="inlineStr">
        <is>
          <t>Primary</t>
        </is>
      </c>
      <c r="F6" s="4" t="inlineStr">
        <is>
          <t>Secondary</t>
        </is>
      </c>
      <c r="G6" s="4" t="inlineStr">
        <is>
          <t>Not Started</t>
        </is>
      </c>
      <c r="H6" s="6" t="n">
        <v>0</v>
      </c>
      <c r="I6" s="4" t="inlineStr">
        <is>
          <t>M0</t>
        </is>
      </c>
      <c r="J6" s="4" t="inlineStr">
        <is>
          <t>At least 2 source implementations</t>
        </is>
      </c>
    </row>
    <row r="7">
      <c r="A7" s="4" t="inlineStr">
        <is>
          <t>M2</t>
        </is>
      </c>
      <c r="B7" s="7" t="inlineStr">
        <is>
          <t>Ingestion &amp; Indexing</t>
        </is>
      </c>
      <c r="C7" s="4" t="inlineStr">
        <is>
          <t>Connectors</t>
        </is>
      </c>
      <c r="D7" s="4" t="inlineStr">
        <is>
          <t>File connector + web connector; connector interface and retries</t>
        </is>
      </c>
      <c r="E7" s="4" t="inlineStr">
        <is>
          <t>Primary</t>
        </is>
      </c>
      <c r="F7" s="4" t="inlineStr">
        <is>
          <t>Secondary</t>
        </is>
      </c>
      <c r="G7" s="4" t="inlineStr">
        <is>
          <t>Not Started</t>
        </is>
      </c>
      <c r="H7" s="6" t="n">
        <v>0</v>
      </c>
      <c r="I7" s="4" t="inlineStr">
        <is>
          <t>M1</t>
        </is>
      </c>
      <c r="J7" s="4" t="inlineStr">
        <is>
          <t>Connector abstraction</t>
        </is>
      </c>
    </row>
    <row r="8">
      <c r="A8" s="4" t="inlineStr">
        <is>
          <t>M3</t>
        </is>
      </c>
      <c r="B8" s="7" t="inlineStr">
        <is>
          <t>Ingestion &amp; Indexing</t>
        </is>
      </c>
      <c r="C8" s="4" t="inlineStr">
        <is>
          <t>Parsing &amp; Extraction</t>
        </is>
      </c>
      <c r="D8" s="4" t="inlineStr">
        <is>
          <t>Document text extraction + HTML extraction; metadata model</t>
        </is>
      </c>
      <c r="E8" s="4" t="inlineStr">
        <is>
          <t>Primary</t>
        </is>
      </c>
      <c r="F8" s="4" t="inlineStr">
        <is>
          <t>Secondary</t>
        </is>
      </c>
      <c r="G8" s="4" t="inlineStr">
        <is>
          <t>Not Started</t>
        </is>
      </c>
      <c r="H8" s="6" t="n">
        <v>0</v>
      </c>
      <c r="I8" s="4" t="inlineStr">
        <is>
          <t>M2</t>
        </is>
      </c>
      <c r="J8" s="4" t="inlineStr">
        <is>
          <t>Add OCR/table extraction later</t>
        </is>
      </c>
    </row>
    <row r="9">
      <c r="A9" s="4" t="inlineStr">
        <is>
          <t>M4</t>
        </is>
      </c>
      <c r="B9" s="7" t="inlineStr">
        <is>
          <t>Ingestion &amp; Indexing</t>
        </is>
      </c>
      <c r="C9" s="4" t="inlineStr">
        <is>
          <t>Chunking</t>
        </is>
      </c>
      <c r="D9" s="4" t="inlineStr">
        <is>
          <t>Recursive/fixed chunking + semantic chunking; chunk metadata</t>
        </is>
      </c>
      <c r="E9" s="4" t="inlineStr">
        <is>
          <t>Primary</t>
        </is>
      </c>
      <c r="F9" s="4" t="inlineStr">
        <is>
          <t>Secondary</t>
        </is>
      </c>
      <c r="G9" s="4" t="inlineStr">
        <is>
          <t>Not Started</t>
        </is>
      </c>
      <c r="H9" s="6" t="n">
        <v>0</v>
      </c>
      <c r="I9" s="4" t="inlineStr">
        <is>
          <t>M3</t>
        </is>
      </c>
      <c r="J9" s="4" t="inlineStr">
        <is>
          <t>Benchmark chunk strategies</t>
        </is>
      </c>
    </row>
    <row r="10">
      <c r="A10" s="4" t="inlineStr">
        <is>
          <t>M5</t>
        </is>
      </c>
      <c r="B10" s="7" t="inlineStr">
        <is>
          <t>Ingestion &amp; Indexing</t>
        </is>
      </c>
      <c r="C10" s="4" t="inlineStr">
        <is>
          <t>Embedding Generation</t>
        </is>
      </c>
      <c r="D10" s="4" t="inlineStr">
        <is>
          <t>Cloud embedding + local embedding; provider abstraction</t>
        </is>
      </c>
      <c r="E10" s="4" t="inlineStr">
        <is>
          <t>Primary</t>
        </is>
      </c>
      <c r="F10" s="4" t="inlineStr">
        <is>
          <t>Secondary</t>
        </is>
      </c>
      <c r="G10" s="4" t="inlineStr">
        <is>
          <t>Not Started</t>
        </is>
      </c>
      <c r="H10" s="6" t="n">
        <v>0</v>
      </c>
      <c r="I10" s="4" t="inlineStr">
        <is>
          <t>M4</t>
        </is>
      </c>
      <c r="J10" s="4" t="inlineStr">
        <is>
          <t>Compare quality/cost/latency</t>
        </is>
      </c>
    </row>
    <row r="11">
      <c r="A11" s="4" t="inlineStr">
        <is>
          <t>M6</t>
        </is>
      </c>
      <c r="B11" s="7" t="inlineStr">
        <is>
          <t>Ingestion &amp; Indexing</t>
        </is>
      </c>
      <c r="C11" s="4" t="inlineStr">
        <is>
          <t>Indexing &amp; Storage</t>
        </is>
      </c>
      <c r="D11" s="4" t="inlineStr">
        <is>
          <t>Vector index + keyword/BM25 index + document/chunk/object storage</t>
        </is>
      </c>
      <c r="E11" s="4" t="inlineStr">
        <is>
          <t>Primary</t>
        </is>
      </c>
      <c r="F11" s="4" t="inlineStr">
        <is>
          <t>Secondary</t>
        </is>
      </c>
      <c r="G11" s="4" t="inlineStr">
        <is>
          <t>Not Started</t>
        </is>
      </c>
      <c r="H11" s="6" t="n">
        <v>0</v>
      </c>
      <c r="I11" s="4" t="inlineStr">
        <is>
          <t>M5</t>
        </is>
      </c>
      <c r="J11" s="4" t="inlineStr">
        <is>
          <t>Idempotent indexing</t>
        </is>
      </c>
    </row>
    <row r="12">
      <c r="A12" s="4" t="inlineStr">
        <is>
          <t>M7</t>
        </is>
      </c>
      <c r="B12" s="8" t="inlineStr">
        <is>
          <t>Retrieval &amp; Generation</t>
        </is>
      </c>
      <c r="C12" s="4" t="inlineStr">
        <is>
          <t>User Query</t>
        </is>
      </c>
      <c r="D12" s="4" t="inlineStr">
        <is>
          <t>API/query contract, validation, request IDs, query lifecycle</t>
        </is>
      </c>
      <c r="E12" s="4" t="inlineStr">
        <is>
          <t>Primary</t>
        </is>
      </c>
      <c r="F12" s="4" t="inlineStr">
        <is>
          <t>Primary</t>
        </is>
      </c>
      <c r="G12" s="4" t="inlineStr">
        <is>
          <t>Not Started</t>
        </is>
      </c>
      <c r="H12" s="6" t="n">
        <v>0</v>
      </c>
      <c r="I12" s="4" t="inlineStr">
        <is>
          <t>M6</t>
        </is>
      </c>
      <c r="J12" s="4" t="inlineStr">
        <is>
          <t>TS becomes relevant for API layer</t>
        </is>
      </c>
    </row>
    <row r="13">
      <c r="A13" s="4" t="inlineStr">
        <is>
          <t>M8</t>
        </is>
      </c>
      <c r="B13" s="8" t="inlineStr">
        <is>
          <t>Retrieval &amp; Generation</t>
        </is>
      </c>
      <c r="C13" s="4" t="inlineStr">
        <is>
          <t>Query Understanding</t>
        </is>
      </c>
      <c r="D13" s="4" t="inlineStr">
        <is>
          <t>Preprocessing + intent detection + query rewriting + query embeddings</t>
        </is>
      </c>
      <c r="E13" s="4" t="inlineStr">
        <is>
          <t>Primary</t>
        </is>
      </c>
      <c r="F13" s="4" t="inlineStr">
        <is>
          <t>Secondary</t>
        </is>
      </c>
      <c r="G13" s="4" t="inlineStr">
        <is>
          <t>Not Started</t>
        </is>
      </c>
      <c r="H13" s="6" t="n">
        <v>0</v>
      </c>
      <c r="I13" s="4" t="inlineStr">
        <is>
          <t>M7</t>
        </is>
      </c>
      <c r="J13" s="4" t="inlineStr">
        <is>
          <t>Compare simple vs LLM-assisted rewriting</t>
        </is>
      </c>
    </row>
    <row r="14">
      <c r="A14" s="4" t="inlineStr">
        <is>
          <t>M9</t>
        </is>
      </c>
      <c r="B14" s="8" t="inlineStr">
        <is>
          <t>Retrieval &amp; Generation</t>
        </is>
      </c>
      <c r="C14" s="4" t="inlineStr">
        <is>
          <t>Hybrid Retrieval</t>
        </is>
      </c>
      <c r="D14" s="4" t="inlineStr">
        <is>
          <t>Vector + keyword retrieval; fusion, filtering, deduplication</t>
        </is>
      </c>
      <c r="E14" s="4" t="inlineStr">
        <is>
          <t>Primary</t>
        </is>
      </c>
      <c r="F14" s="4" t="inlineStr">
        <is>
          <t>Secondary</t>
        </is>
      </c>
      <c r="G14" s="4" t="inlineStr">
        <is>
          <t>Not Started</t>
        </is>
      </c>
      <c r="H14" s="6" t="n">
        <v>0</v>
      </c>
      <c r="I14" s="4" t="inlineStr">
        <is>
          <t>M8</t>
        </is>
      </c>
      <c r="J14" s="4" t="inlineStr">
        <is>
          <t>Measure Recall@K</t>
        </is>
      </c>
    </row>
    <row r="15">
      <c r="A15" s="4" t="inlineStr">
        <is>
          <t>M10</t>
        </is>
      </c>
      <c r="B15" s="8" t="inlineStr">
        <is>
          <t>Retrieval &amp; Generation</t>
        </is>
      </c>
      <c r="C15" s="4" t="inlineStr">
        <is>
          <t>Reranking</t>
        </is>
      </c>
      <c r="D15" s="4" t="inlineStr">
        <is>
          <t>Cross-encoder/reranker integration + top-K optimization</t>
        </is>
      </c>
      <c r="E15" s="4" t="inlineStr">
        <is>
          <t>Primary</t>
        </is>
      </c>
      <c r="F15" s="4" t="inlineStr">
        <is>
          <t>Secondary</t>
        </is>
      </c>
      <c r="G15" s="4" t="inlineStr">
        <is>
          <t>Not Started</t>
        </is>
      </c>
      <c r="H15" s="6" t="n">
        <v>0</v>
      </c>
      <c r="I15" s="4" t="inlineStr">
        <is>
          <t>M9</t>
        </is>
      </c>
      <c r="J15" s="4" t="inlineStr">
        <is>
          <t>Measure retrieval lift</t>
        </is>
      </c>
    </row>
    <row r="16">
      <c r="A16" s="4" t="inlineStr">
        <is>
          <t>M11</t>
        </is>
      </c>
      <c r="B16" s="8" t="inlineStr">
        <is>
          <t>Retrieval &amp; Generation</t>
        </is>
      </c>
      <c r="C16" s="4" t="inlineStr">
        <is>
          <t>Context Assembly</t>
        </is>
      </c>
      <c r="D16" s="4" t="inlineStr">
        <is>
          <t>Prompt template + context packing + token budgeting + source tracking</t>
        </is>
      </c>
      <c r="E16" s="4" t="inlineStr">
        <is>
          <t>Primary</t>
        </is>
      </c>
      <c r="F16" s="4" t="inlineStr">
        <is>
          <t>Primary</t>
        </is>
      </c>
      <c r="G16" s="4" t="inlineStr">
        <is>
          <t>Not Started</t>
        </is>
      </c>
      <c r="H16" s="6" t="n">
        <v>0</v>
      </c>
      <c r="I16" s="4" t="inlineStr">
        <is>
          <t>M10</t>
        </is>
      </c>
      <c r="J16" s="4" t="inlineStr">
        <is>
          <t>Prevent context overflow</t>
        </is>
      </c>
    </row>
    <row r="17">
      <c r="A17" s="4" t="inlineStr">
        <is>
          <t>M12</t>
        </is>
      </c>
      <c r="B17" s="8" t="inlineStr">
        <is>
          <t>Retrieval &amp; Generation</t>
        </is>
      </c>
      <c r="C17" s="4" t="inlineStr">
        <is>
          <t>Generation</t>
        </is>
      </c>
      <c r="D17" s="4" t="inlineStr">
        <is>
          <t>LLM abstraction + streaming + retries + structured response</t>
        </is>
      </c>
      <c r="E17" s="4" t="inlineStr">
        <is>
          <t>Primary</t>
        </is>
      </c>
      <c r="F17" s="4" t="inlineStr">
        <is>
          <t>Primary</t>
        </is>
      </c>
      <c r="G17" s="4" t="inlineStr">
        <is>
          <t>Not Started</t>
        </is>
      </c>
      <c r="H17" s="6" t="n">
        <v>0</v>
      </c>
      <c r="I17" s="4" t="inlineStr">
        <is>
          <t>M11</t>
        </is>
      </c>
      <c r="J17" s="4" t="inlineStr">
        <is>
          <t>Provider-independent interface</t>
        </is>
      </c>
    </row>
    <row r="18">
      <c r="A18" s="4" t="inlineStr">
        <is>
          <t>M13</t>
        </is>
      </c>
      <c r="B18" s="8" t="inlineStr">
        <is>
          <t>Retrieval &amp; Generation</t>
        </is>
      </c>
      <c r="C18" s="4" t="inlineStr">
        <is>
          <t>Response &amp; Citations</t>
        </is>
      </c>
      <c r="D18" s="4" t="inlineStr">
        <is>
          <t>Grounded answer + citations + source metadata + failure response</t>
        </is>
      </c>
      <c r="E18" s="4" t="inlineStr">
        <is>
          <t>Primary</t>
        </is>
      </c>
      <c r="F18" s="4" t="inlineStr">
        <is>
          <t>Primary</t>
        </is>
      </c>
      <c r="G18" s="4" t="inlineStr">
        <is>
          <t>Not Started</t>
        </is>
      </c>
      <c r="H18" s="6" t="n">
        <v>0</v>
      </c>
      <c r="I18" s="4" t="inlineStr">
        <is>
          <t>M12</t>
        </is>
      </c>
      <c r="J18" s="4" t="inlineStr">
        <is>
          <t>Citation correctness</t>
        </is>
      </c>
    </row>
    <row r="19">
      <c r="A19" s="4" t="inlineStr">
        <is>
          <t>M14</t>
        </is>
      </c>
      <c r="B19" s="9" t="inlineStr">
        <is>
          <t>Feedback &amp; Improvement</t>
        </is>
      </c>
      <c r="C19" s="4" t="inlineStr">
        <is>
          <t>Feedback Capture</t>
        </is>
      </c>
      <c r="D19" s="4" t="inlineStr">
        <is>
          <t>Helpful/not-helpful feedback + query/response telemetry</t>
        </is>
      </c>
      <c r="E19" s="4" t="inlineStr">
        <is>
          <t>Primary</t>
        </is>
      </c>
      <c r="F19" s="4" t="inlineStr">
        <is>
          <t>Primary</t>
        </is>
      </c>
      <c r="G19" s="4" t="inlineStr">
        <is>
          <t>Not Started</t>
        </is>
      </c>
      <c r="H19" s="6" t="n">
        <v>0</v>
      </c>
      <c r="I19" s="4" t="inlineStr">
        <is>
          <t>M13</t>
        </is>
      </c>
      <c r="J19" s="4" t="inlineStr">
        <is>
          <t>Privacy-aware feedback</t>
        </is>
      </c>
    </row>
    <row r="20">
      <c r="A20" s="4" t="inlineStr">
        <is>
          <t>M15</t>
        </is>
      </c>
      <c r="B20" s="9" t="inlineStr">
        <is>
          <t>Feedback &amp; Improvement</t>
        </is>
      </c>
      <c r="C20" s="4" t="inlineStr">
        <is>
          <t>Evaluation</t>
        </is>
      </c>
      <c r="D20" s="4" t="inlineStr">
        <is>
          <t>Golden dataset + retrieval/answer/faithfulness/citation metrics</t>
        </is>
      </c>
      <c r="E20" s="4" t="inlineStr">
        <is>
          <t>Primary</t>
        </is>
      </c>
      <c r="F20" s="4" t="inlineStr">
        <is>
          <t>Secondary</t>
        </is>
      </c>
      <c r="G20" s="4" t="inlineStr">
        <is>
          <t>Not Started</t>
        </is>
      </c>
      <c r="H20" s="6" t="n">
        <v>0</v>
      </c>
      <c r="I20" s="4" t="inlineStr">
        <is>
          <t>M14</t>
        </is>
      </c>
      <c r="J20" s="4" t="inlineStr">
        <is>
          <t>Regression suite</t>
        </is>
      </c>
    </row>
    <row r="21">
      <c r="A21" s="4" t="inlineStr">
        <is>
          <t>M16</t>
        </is>
      </c>
      <c r="B21" s="9" t="inlineStr">
        <is>
          <t>Feedback &amp; Improvement</t>
        </is>
      </c>
      <c r="C21" s="4" t="inlineStr">
        <is>
          <t>Failure Analysis</t>
        </is>
      </c>
      <c r="D21" s="4" t="inlineStr">
        <is>
          <t>Failure taxonomy, error clustering, bad retrieval analysis</t>
        </is>
      </c>
      <c r="E21" s="4" t="inlineStr">
        <is>
          <t>Primary</t>
        </is>
      </c>
      <c r="F21" s="4" t="inlineStr">
        <is>
          <t>Secondary</t>
        </is>
      </c>
      <c r="G21" s="4" t="inlineStr">
        <is>
          <t>Not Started</t>
        </is>
      </c>
      <c r="H21" s="6" t="n">
        <v>0</v>
      </c>
      <c r="I21" s="4" t="inlineStr">
        <is>
          <t>M15</t>
        </is>
      </c>
      <c r="J21" s="4" t="inlineStr">
        <is>
          <t>Root-cause workflow</t>
        </is>
      </c>
    </row>
    <row r="22">
      <c r="A22" s="4" t="inlineStr">
        <is>
          <t>M17</t>
        </is>
      </c>
      <c r="B22" s="9" t="inlineStr">
        <is>
          <t>Feedback &amp; Improvement</t>
        </is>
      </c>
      <c r="C22" s="4" t="inlineStr">
        <is>
          <t>Continuous Improvement</t>
        </is>
      </c>
      <c r="D22" s="4" t="inlineStr">
        <is>
          <t>Re-indexing, prompt/model/chunk tuning loop</t>
        </is>
      </c>
      <c r="E22" s="4" t="inlineStr">
        <is>
          <t>Primary</t>
        </is>
      </c>
      <c r="F22" s="4" t="inlineStr">
        <is>
          <t>Secondary</t>
        </is>
      </c>
      <c r="G22" s="4" t="inlineStr">
        <is>
          <t>Not Started</t>
        </is>
      </c>
      <c r="H22" s="6" t="n">
        <v>0</v>
      </c>
      <c r="I22" s="4" t="inlineStr">
        <is>
          <t>M16</t>
        </is>
      </c>
      <c r="J22" s="4" t="inlineStr">
        <is>
          <t>Controlled changes + evaluation gates</t>
        </is>
      </c>
    </row>
    <row r="23">
      <c r="A23" s="4" t="inlineStr">
        <is>
          <t>M18</t>
        </is>
      </c>
      <c r="B23" s="10" t="inlineStr">
        <is>
          <t>Production Engineering</t>
        </is>
      </c>
      <c r="C23" s="4" t="inlineStr">
        <is>
          <t>Security &amp; Guardrails</t>
        </is>
      </c>
      <c r="D23" s="4" t="inlineStr">
        <is>
          <t>PII, prompt injection, access control, content safety, secrets</t>
        </is>
      </c>
      <c r="E23" s="4" t="inlineStr">
        <is>
          <t>Primary</t>
        </is>
      </c>
      <c r="F23" s="4" t="inlineStr">
        <is>
          <t>Primary</t>
        </is>
      </c>
      <c r="G23" s="4" t="inlineStr">
        <is>
          <t>Not Started</t>
        </is>
      </c>
      <c r="H23" s="6" t="n">
        <v>0</v>
      </c>
      <c r="I23" s="4" t="inlineStr">
        <is>
          <t>M13</t>
        </is>
      </c>
      <c r="J23" s="4" t="inlineStr">
        <is>
          <t>Cross-cutting concern</t>
        </is>
      </c>
    </row>
    <row r="24">
      <c r="A24" s="4" t="inlineStr">
        <is>
          <t>M19</t>
        </is>
      </c>
      <c r="B24" s="10" t="inlineStr">
        <is>
          <t>Production Engineering</t>
        </is>
      </c>
      <c r="C24" s="4" t="inlineStr">
        <is>
          <t>Observability</t>
        </is>
      </c>
      <c r="D24" s="4" t="inlineStr">
        <is>
          <t>Tracing, logs, metrics, token/cost/latency, dashboards, alerts</t>
        </is>
      </c>
      <c r="E24" s="4" t="inlineStr">
        <is>
          <t>Primary</t>
        </is>
      </c>
      <c r="F24" s="4" t="inlineStr">
        <is>
          <t>Primary</t>
        </is>
      </c>
      <c r="G24" s="4" t="inlineStr">
        <is>
          <t>Not Started</t>
        </is>
      </c>
      <c r="H24" s="6" t="n">
        <v>0</v>
      </c>
      <c r="I24" s="4" t="inlineStr">
        <is>
          <t>M13</t>
        </is>
      </c>
      <c r="J24" s="4" t="inlineStr">
        <is>
          <t>OpenTelemetry-oriented design</t>
        </is>
      </c>
    </row>
    <row r="25">
      <c r="A25" s="4" t="inlineStr">
        <is>
          <t>M20</t>
        </is>
      </c>
      <c r="B25" s="10" t="inlineStr">
        <is>
          <t>Production Engineering</t>
        </is>
      </c>
      <c r="C25" s="4" t="inlineStr">
        <is>
          <t>Reliability</t>
        </is>
      </c>
      <c r="D25" s="4" t="inlineStr">
        <is>
          <t>Timeouts, retries, circuit breakers, fallbacks, idempotency, DLQ</t>
        </is>
      </c>
      <c r="E25" s="4" t="inlineStr">
        <is>
          <t>Primary</t>
        </is>
      </c>
      <c r="F25" s="4" t="inlineStr">
        <is>
          <t>Primary</t>
        </is>
      </c>
      <c r="G25" s="4" t="inlineStr">
        <is>
          <t>Not Started</t>
        </is>
      </c>
      <c r="H25" s="6" t="n">
        <v>0</v>
      </c>
      <c r="I25" s="4" t="inlineStr">
        <is>
          <t>M18,M19</t>
        </is>
      </c>
      <c r="J25" s="4" t="inlineStr">
        <is>
          <t>Failure-first engineering</t>
        </is>
      </c>
    </row>
    <row r="26">
      <c r="A26" s="4" t="inlineStr">
        <is>
          <t>M21</t>
        </is>
      </c>
      <c r="B26" s="10" t="inlineStr">
        <is>
          <t>Production Engineering</t>
        </is>
      </c>
      <c r="C26" s="4" t="inlineStr">
        <is>
          <t>Performance &amp; Cost</t>
        </is>
      </c>
      <c r="D26" s="4" t="inlineStr">
        <is>
          <t>Caching, batching, concurrency, model routing, token budgets</t>
        </is>
      </c>
      <c r="E26" s="4" t="inlineStr">
        <is>
          <t>Primary</t>
        </is>
      </c>
      <c r="F26" s="4" t="inlineStr">
        <is>
          <t>Primary</t>
        </is>
      </c>
      <c r="G26" s="4" t="inlineStr">
        <is>
          <t>Not Started</t>
        </is>
      </c>
      <c r="H26" s="6" t="n">
        <v>0</v>
      </c>
      <c r="I26" s="4" t="inlineStr">
        <is>
          <t>M20</t>
        </is>
      </c>
      <c r="J26" s="4" t="inlineStr">
        <is>
          <t>Cost per successful answer</t>
        </is>
      </c>
    </row>
    <row r="27">
      <c r="A27" s="4" t="inlineStr">
        <is>
          <t>M22</t>
        </is>
      </c>
      <c r="B27" s="10" t="inlineStr">
        <is>
          <t>Production Engineering</t>
        </is>
      </c>
      <c r="C27" s="4" t="inlineStr">
        <is>
          <t>Deployment &amp; Scaling</t>
        </is>
      </c>
      <c r="D27" s="4" t="inlineStr">
        <is>
          <t>Docker, CI/CD, environments, horizontal scaling, async workers</t>
        </is>
      </c>
      <c r="E27" s="4" t="inlineStr">
        <is>
          <t>Primary</t>
        </is>
      </c>
      <c r="F27" s="4" t="inlineStr">
        <is>
          <t>Primary</t>
        </is>
      </c>
      <c r="G27" s="4" t="inlineStr">
        <is>
          <t>Not Started</t>
        </is>
      </c>
      <c r="H27" s="6" t="n">
        <v>0</v>
      </c>
      <c r="I27" s="4" t="inlineStr">
        <is>
          <t>M21</t>
        </is>
      </c>
      <c r="J27" s="4" t="inlineStr">
        <is>
          <t>Cloud-ready architecture</t>
        </is>
      </c>
    </row>
    <row r="28">
      <c r="A28" s="4" t="inlineStr">
        <is>
          <t>M23</t>
        </is>
      </c>
      <c r="B28" s="11" t="inlineStr">
        <is>
          <t>Enterprise RAG</t>
        </is>
      </c>
      <c r="C28" s="4" t="inlineStr">
        <is>
          <t>Multi-tenancy &amp; Governance</t>
        </is>
      </c>
      <c r="D28" s="4" t="inlineStr">
        <is>
          <t>Tenant isolation, RBAC/ABAC, data lifecycle, audit, governance</t>
        </is>
      </c>
      <c r="E28" s="4" t="inlineStr">
        <is>
          <t>Primary</t>
        </is>
      </c>
      <c r="F28" s="4" t="inlineStr">
        <is>
          <t>Primary</t>
        </is>
      </c>
      <c r="G28" s="4" t="inlineStr">
        <is>
          <t>Not Started</t>
        </is>
      </c>
      <c r="H28" s="6" t="n">
        <v>0</v>
      </c>
      <c r="I28" s="4" t="inlineStr">
        <is>
          <t>M22</t>
        </is>
      </c>
      <c r="J28" s="4" t="inlineStr">
        <is>
          <t>Enterprise controls</t>
        </is>
      </c>
    </row>
    <row r="29">
      <c r="A29" s="4" t="inlineStr">
        <is>
          <t>M24</t>
        </is>
      </c>
      <c r="B29" s="11" t="inlineStr">
        <is>
          <t>Enterprise RAG</t>
        </is>
      </c>
      <c r="C29" s="4" t="inlineStr">
        <is>
          <t>End-to-End Production RAG</t>
        </is>
      </c>
      <c r="D29" s="4" t="inlineStr">
        <is>
          <t>Integrated production architecture and reference implementation</t>
        </is>
      </c>
      <c r="E29" s="4" t="inlineStr">
        <is>
          <t>Primary</t>
        </is>
      </c>
      <c r="F29" s="4" t="inlineStr">
        <is>
          <t>Primary</t>
        </is>
      </c>
      <c r="G29" s="4" t="inlineStr">
        <is>
          <t>Not Started</t>
        </is>
      </c>
      <c r="H29" s="6" t="n">
        <v>0</v>
      </c>
      <c r="I29" s="4" t="inlineStr">
        <is>
          <t>M23</t>
        </is>
      </c>
      <c r="J29" s="4" t="inlineStr">
        <is>
          <t>Architecture review checkpoint</t>
        </is>
      </c>
    </row>
    <row r="30">
      <c r="A30" s="4" t="inlineStr">
        <is>
          <t>M25</t>
        </is>
      </c>
      <c r="B30" s="12" t="inlineStr">
        <is>
          <t>Advanced RAG</t>
        </is>
      </c>
      <c r="C30" s="4" t="inlineStr">
        <is>
          <t>Advanced RAG Patterns</t>
        </is>
      </c>
      <c r="D30" s="4" t="inlineStr">
        <is>
          <t>Agentic RAG, parent-child, multi-query, HyDE, graph/hybrid extensions</t>
        </is>
      </c>
      <c r="E30" s="4" t="inlineStr">
        <is>
          <t>Primary</t>
        </is>
      </c>
      <c r="F30" s="4" t="inlineStr">
        <is>
          <t>Primary</t>
        </is>
      </c>
      <c r="G30" s="4" t="inlineStr">
        <is>
          <t>Not Started</t>
        </is>
      </c>
      <c r="H30" s="6" t="n">
        <v>0</v>
      </c>
      <c r="I30" s="4" t="inlineStr">
        <is>
          <t>M24</t>
        </is>
      </c>
      <c r="J30" s="4" t="inlineStr">
        <is>
          <t>Pattern trade-offs</t>
        </is>
      </c>
    </row>
    <row r="31">
      <c r="A31" s="4" t="inlineStr">
        <is>
          <t>M26</t>
        </is>
      </c>
      <c r="B31" s="13" t="inlineStr">
        <is>
          <t>Agentic Evolution</t>
        </is>
      </c>
      <c r="C31" s="4" t="inlineStr">
        <is>
          <t>RAG + Agents</t>
        </is>
      </c>
      <c r="D31" s="4" t="inlineStr">
        <is>
          <t>Tool use, MCP/A2A integration, agent routing and governed actions</t>
        </is>
      </c>
      <c r="E31" s="4" t="inlineStr">
        <is>
          <t>Primary</t>
        </is>
      </c>
      <c r="F31" s="4" t="inlineStr">
        <is>
          <t>Primary</t>
        </is>
      </c>
      <c r="G31" s="4" t="inlineStr">
        <is>
          <t>Not Started</t>
        </is>
      </c>
      <c r="H31" s="6" t="n">
        <v>0</v>
      </c>
      <c r="I31" s="4" t="inlineStr">
        <is>
          <t>M25</t>
        </is>
      </c>
      <c r="J31" s="4" t="inlineStr">
        <is>
          <t>Connect to Agent Engineering phase</t>
        </is>
      </c>
    </row>
  </sheetData>
  <autoFilter ref="A4:J31"/>
  <mergeCells count="2">
    <mergeCell ref="A1:J1"/>
    <mergeCell ref="A2:J2"/>
  </mergeCells>
  <conditionalFormatting sqref="H5:H31">
    <cfRule type="cellIs" priority="1" operator="equal" dxfId="0">
      <formula>100</formula>
    </cfRule>
  </conditionalFormatting>
  <dataValidations count="1">
    <dataValidation sqref="G5:G31" showDropDown="0" showInputMessage="0" showErrorMessage="0" allowBlank="0" type="list">
      <formula1>"Not Started,In Progress,Blocked,Complete"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38" customWidth="1" min="4" max="4"/>
    <col width="38" customWidth="1" min="5" max="5"/>
    <col width="48" customWidth="1" min="6" max="6"/>
    <col width="48" customWidth="1" min="7" max="7"/>
    <col width="16" customWidth="1" min="8" max="8"/>
  </cols>
  <sheetData>
    <row r="1">
      <c r="A1" s="1" t="inlineStr">
        <is>
          <t>Detailed Task Breakdown</t>
        </is>
      </c>
    </row>
    <row r="3">
      <c r="A3" s="3" t="inlineStr">
        <is>
          <t>Milestone</t>
        </is>
      </c>
      <c r="B3" s="3" t="inlineStr">
        <is>
          <t>Step</t>
        </is>
      </c>
      <c r="C3" s="3" t="inlineStr">
        <is>
          <t>Task</t>
        </is>
      </c>
      <c r="D3" s="3" t="inlineStr">
        <is>
          <t>Implementation / Experiment A</t>
        </is>
      </c>
      <c r="E3" s="3" t="inlineStr">
        <is>
          <t>Implementation / Experiment B</t>
        </is>
      </c>
      <c r="F3" s="3" t="inlineStr">
        <is>
          <t>Production Engineering Focus</t>
        </is>
      </c>
      <c r="G3" s="3" t="inlineStr">
        <is>
          <t>Exit Criteria</t>
        </is>
      </c>
      <c r="H3" s="3" t="inlineStr">
        <is>
          <t>Status</t>
        </is>
      </c>
    </row>
    <row r="4">
      <c r="A4" s="4" t="inlineStr">
        <is>
          <t>M0</t>
        </is>
      </c>
      <c r="B4" s="4" t="inlineStr">
        <is>
          <t>Foundation</t>
        </is>
      </c>
      <c r="C4" s="4" t="inlineStr">
        <is>
          <t>Repository &amp; package structure</t>
        </is>
      </c>
      <c r="D4" s="4" t="inlineStr">
        <is>
          <t>Python package + tests</t>
        </is>
      </c>
      <c r="E4" s="4" t="inlineStr">
        <is>
          <t>TypeScript package + tests</t>
        </is>
      </c>
      <c r="F4" s="4" t="inlineStr">
        <is>
          <t>Layered architecture, dependency direction</t>
        </is>
      </c>
      <c r="G4" s="4" t="inlineStr">
        <is>
          <t>Both projects build and test cleanly</t>
        </is>
      </c>
      <c r="H4" s="4" t="inlineStr">
        <is>
          <t>Not Started</t>
        </is>
      </c>
    </row>
    <row r="5">
      <c r="A5" s="4" t="inlineStr">
        <is>
          <t>M0</t>
        </is>
      </c>
      <c r="B5" s="4" t="inlineStr">
        <is>
          <t>Foundation</t>
        </is>
      </c>
      <c r="C5" s="4" t="inlineStr">
        <is>
          <t>Engineering standards</t>
        </is>
      </c>
      <c r="D5" s="4" t="inlineStr">
        <is>
          <t>ruff/pytest/mypy-style checks</t>
        </is>
      </c>
      <c r="E5" s="4" t="inlineStr">
        <is>
          <t>eslint/prettier/tsc/vitest</t>
        </is>
      </c>
      <c r="F5" s="4" t="inlineStr">
        <is>
          <t>Typing, linting, formatting, test standards</t>
        </is>
      </c>
      <c r="G5" s="4" t="inlineStr">
        <is>
          <t>CI-quality local checks</t>
        </is>
      </c>
      <c r="H5" s="4" t="inlineStr">
        <is>
          <t>Not Started</t>
        </is>
      </c>
    </row>
    <row r="6">
      <c r="A6" s="4" t="inlineStr">
        <is>
          <t>M0</t>
        </is>
      </c>
      <c r="B6" s="4" t="inlineStr">
        <is>
          <t>Foundation</t>
        </is>
      </c>
      <c r="C6" s="4" t="inlineStr">
        <is>
          <t>Configuration &amp; secrets</t>
        </is>
      </c>
      <c r="D6" s="4" t="inlineStr">
        <is>
          <t>Typed settings + .env separation</t>
        </is>
      </c>
      <c r="E6" s="4" t="inlineStr">
        <is>
          <t>Typed config + environment validation</t>
        </is>
      </c>
      <c r="F6" s="4" t="inlineStr">
        <is>
          <t>No secrets in source; fail-fast config</t>
        </is>
      </c>
      <c r="G6" s="4" t="inlineStr">
        <is>
          <t>Invalid config fails safely</t>
        </is>
      </c>
      <c r="H6" s="4" t="inlineStr">
        <is>
          <t>Not Started</t>
        </is>
      </c>
    </row>
    <row r="7">
      <c r="A7" s="4" t="inlineStr">
        <is>
          <t>M1</t>
        </is>
      </c>
      <c r="B7" s="4" t="inlineStr">
        <is>
          <t>Data Sources</t>
        </is>
      </c>
      <c r="C7" s="4" t="inlineStr">
        <is>
          <t>Local files</t>
        </is>
      </c>
      <c r="D7" s="4" t="inlineStr">
        <is>
          <t>PDF/DOCX/TXT corpus</t>
        </is>
      </c>
      <c r="E7" s="4" t="inlineStr">
        <is>
          <t>File ingestion in Node</t>
        </is>
      </c>
      <c r="F7" s="4" t="inlineStr">
        <is>
          <t>Normalized SourceDocument contract</t>
        </is>
      </c>
      <c r="G7" s="4" t="inlineStr">
        <is>
          <t>Multiple file types ingested</t>
        </is>
      </c>
      <c r="H7" s="4" t="inlineStr">
        <is>
          <t>Not Started</t>
        </is>
      </c>
    </row>
    <row r="8">
      <c r="A8" s="4" t="inlineStr">
        <is>
          <t>M1</t>
        </is>
      </c>
      <c r="B8" s="4" t="inlineStr">
        <is>
          <t>Data Sources</t>
        </is>
      </c>
      <c r="C8" s="4" t="inlineStr">
        <is>
          <t>Web pages</t>
        </is>
      </c>
      <c r="D8" s="4" t="inlineStr">
        <is>
          <t>URL fetch + HTML source</t>
        </is>
      </c>
      <c r="E8" s="4" t="inlineStr">
        <is>
          <t>Node fetch + HTML source</t>
        </is>
      </c>
      <c r="F8" s="4" t="inlineStr">
        <is>
          <t>Timeouts, retries, size limits</t>
        </is>
      </c>
      <c r="G8" s="4" t="inlineStr">
        <is>
          <t>Web page becomes normalized document</t>
        </is>
      </c>
      <c r="H8" s="4" t="inlineStr">
        <is>
          <t>Not Started</t>
        </is>
      </c>
    </row>
    <row r="9">
      <c r="A9" s="4" t="inlineStr">
        <is>
          <t>M2</t>
        </is>
      </c>
      <c r="B9" s="4" t="inlineStr">
        <is>
          <t>Connectors</t>
        </is>
      </c>
      <c r="C9" s="4" t="inlineStr">
        <is>
          <t>Connector abstraction</t>
        </is>
      </c>
      <c r="D9" s="4" t="inlineStr">
        <is>
          <t>FileConnector interface</t>
        </is>
      </c>
      <c r="E9" s="4" t="inlineStr">
        <is>
          <t>WebConnector interface</t>
        </is>
      </c>
      <c r="F9" s="4" t="inlineStr">
        <is>
          <t>Interfaces, contracts, retry policy</t>
        </is>
      </c>
      <c r="G9" s="4" t="inlineStr">
        <is>
          <t>Connectors swappable</t>
        </is>
      </c>
      <c r="H9" s="4" t="inlineStr">
        <is>
          <t>Not Started</t>
        </is>
      </c>
    </row>
    <row r="10">
      <c r="A10" s="4" t="inlineStr">
        <is>
          <t>M3</t>
        </is>
      </c>
      <c r="B10" s="4" t="inlineStr">
        <is>
          <t>Parsing</t>
        </is>
      </c>
      <c r="C10" s="4" t="inlineStr">
        <is>
          <t>Document extraction</t>
        </is>
      </c>
      <c r="D10" s="4" t="inlineStr">
        <is>
          <t>PDF/DOCX/TXT extraction</t>
        </is>
      </c>
      <c r="E10" s="4" t="inlineStr">
        <is>
          <t>HTML extraction</t>
        </is>
      </c>
      <c r="F10" s="4" t="inlineStr">
        <is>
          <t>Parser errors + provenance</t>
        </is>
      </c>
      <c r="G10" s="4" t="inlineStr">
        <is>
          <t>Text + metadata produced</t>
        </is>
      </c>
      <c r="H10" s="4" t="inlineStr">
        <is>
          <t>Not Started</t>
        </is>
      </c>
    </row>
    <row r="11">
      <c r="A11" s="4" t="inlineStr">
        <is>
          <t>M3</t>
        </is>
      </c>
      <c r="B11" s="4" t="inlineStr">
        <is>
          <t>Parsing</t>
        </is>
      </c>
      <c r="C11" s="4" t="inlineStr">
        <is>
          <t>Structured content</t>
        </is>
      </c>
      <c r="D11" s="4" t="inlineStr">
        <is>
          <t>Table extraction</t>
        </is>
      </c>
      <c r="E11" s="4" t="inlineStr">
        <is>
          <t>HTML tables</t>
        </is>
      </c>
      <c r="F11" s="4" t="inlineStr">
        <is>
          <t>Preserve structure where useful</t>
        </is>
      </c>
      <c r="G11" s="4" t="inlineStr">
        <is>
          <t>Tables represented safely</t>
        </is>
      </c>
      <c r="H11" s="4" t="inlineStr">
        <is>
          <t>Not Started</t>
        </is>
      </c>
    </row>
    <row r="12">
      <c r="A12" s="4" t="inlineStr">
        <is>
          <t>M4</t>
        </is>
      </c>
      <c r="B12" s="4" t="inlineStr">
        <is>
          <t>Chunking</t>
        </is>
      </c>
      <c r="C12" s="4" t="inlineStr">
        <is>
          <t>Fixed/recursive chunking</t>
        </is>
      </c>
      <c r="D12" s="4" t="inlineStr">
        <is>
          <t>Character/token based</t>
        </is>
      </c>
      <c r="E12" s="4" t="inlineStr">
        <is>
          <t>Equivalent TS implementation</t>
        </is>
      </c>
      <c r="F12" s="4" t="inlineStr">
        <is>
          <t>Deterministic chunk IDs</t>
        </is>
      </c>
      <c r="G12" s="4" t="inlineStr">
        <is>
          <t>Repeatable chunks</t>
        </is>
      </c>
      <c r="H12" s="4" t="inlineStr">
        <is>
          <t>Not Started</t>
        </is>
      </c>
    </row>
    <row r="13">
      <c r="A13" s="4" t="inlineStr">
        <is>
          <t>M4</t>
        </is>
      </c>
      <c r="B13" s="4" t="inlineStr">
        <is>
          <t>Chunking</t>
        </is>
      </c>
      <c r="C13" s="4" t="inlineStr">
        <is>
          <t>Semantic chunking</t>
        </is>
      </c>
      <c r="D13" s="4" t="inlineStr">
        <is>
          <t>Embedding/similarity boundary method</t>
        </is>
      </c>
      <c r="E13" s="4" t="inlineStr">
        <is>
          <t>Equivalent TS implementation</t>
        </is>
      </c>
      <c r="F13" s="4" t="inlineStr">
        <is>
          <t>Fallback strategy + limits</t>
        </is>
      </c>
      <c r="G13" s="4" t="inlineStr">
        <is>
          <t>Quality comparison complete</t>
        </is>
      </c>
      <c r="H13" s="4" t="inlineStr">
        <is>
          <t>Not Started</t>
        </is>
      </c>
    </row>
    <row r="14">
      <c r="A14" s="4" t="inlineStr">
        <is>
          <t>M5</t>
        </is>
      </c>
      <c r="B14" s="4" t="inlineStr">
        <is>
          <t>Embeddings</t>
        </is>
      </c>
      <c r="C14" s="4" t="inlineStr">
        <is>
          <t>Cloud embeddings</t>
        </is>
      </c>
      <c r="D14" s="4" t="inlineStr">
        <is>
          <t>Provider SDK</t>
        </is>
      </c>
      <c r="E14" s="4" t="inlineStr">
        <is>
          <t>Node provider SDK</t>
        </is>
      </c>
      <c r="F14" s="4" t="inlineStr">
        <is>
          <t>Provider abstraction, rate limits</t>
        </is>
      </c>
      <c r="G14" s="4" t="inlineStr">
        <is>
          <t>Common embedding interface</t>
        </is>
      </c>
      <c r="H14" s="4" t="inlineStr">
        <is>
          <t>Not Started</t>
        </is>
      </c>
    </row>
    <row r="15">
      <c r="A15" s="4" t="inlineStr">
        <is>
          <t>M5</t>
        </is>
      </c>
      <c r="B15" s="4" t="inlineStr">
        <is>
          <t>Embeddings</t>
        </is>
      </c>
      <c r="C15" s="4" t="inlineStr">
        <is>
          <t>Local embeddings</t>
        </is>
      </c>
      <c r="D15" s="4" t="inlineStr">
        <is>
          <t>Local model</t>
        </is>
      </c>
      <c r="E15" s="4" t="inlineStr">
        <is>
          <t>Local/Node-compatible option</t>
        </is>
      </c>
      <c r="F15" s="4" t="inlineStr">
        <is>
          <t>Model versioning + dimension validation</t>
        </is>
      </c>
      <c r="G15" s="4" t="inlineStr">
        <is>
          <t>Cloud vs local benchmark</t>
        </is>
      </c>
      <c r="H15" s="4" t="inlineStr">
        <is>
          <t>Not Started</t>
        </is>
      </c>
    </row>
    <row r="16">
      <c r="A16" s="4" t="inlineStr">
        <is>
          <t>M6</t>
        </is>
      </c>
      <c r="B16" s="4" t="inlineStr">
        <is>
          <t>Indexing</t>
        </is>
      </c>
      <c r="C16" s="4" t="inlineStr">
        <is>
          <t>Vector index</t>
        </is>
      </c>
      <c r="D16" s="4" t="inlineStr">
        <is>
          <t>pgvector/Qdrant-style index</t>
        </is>
      </c>
      <c r="E16" s="4" t="inlineStr">
        <is>
          <t>Node client</t>
        </is>
      </c>
      <c r="F16" s="4" t="inlineStr">
        <is>
          <t>Idempotency + consistency</t>
        </is>
      </c>
      <c r="G16" s="4" t="inlineStr">
        <is>
          <t>Vector search works</t>
        </is>
      </c>
      <c r="H16" s="4" t="inlineStr">
        <is>
          <t>Not Started</t>
        </is>
      </c>
    </row>
    <row r="17">
      <c r="A17" s="4" t="inlineStr">
        <is>
          <t>M6</t>
        </is>
      </c>
      <c r="B17" s="4" t="inlineStr">
        <is>
          <t>Indexing</t>
        </is>
      </c>
      <c r="C17" s="4" t="inlineStr">
        <is>
          <t>Keyword index</t>
        </is>
      </c>
      <c r="D17" s="4" t="inlineStr">
        <is>
          <t>BM25/full-text</t>
        </is>
      </c>
      <c r="E17" s="4" t="inlineStr">
        <is>
          <t>Postgres/Node equivalent</t>
        </is>
      </c>
      <c r="F17" s="4" t="inlineStr">
        <is>
          <t>Index refresh strategy</t>
        </is>
      </c>
      <c r="G17" s="4" t="inlineStr">
        <is>
          <t>Keyword search works</t>
        </is>
      </c>
      <c r="H17" s="4" t="inlineStr">
        <is>
          <t>Not Started</t>
        </is>
      </c>
    </row>
    <row r="18">
      <c r="A18" s="4" t="inlineStr">
        <is>
          <t>M7</t>
        </is>
      </c>
      <c r="B18" s="4" t="inlineStr">
        <is>
          <t>Query</t>
        </is>
      </c>
      <c r="C18" s="4" t="inlineStr">
        <is>
          <t>Query API</t>
        </is>
      </c>
      <c r="D18" s="4" t="inlineStr">
        <is>
          <t>FastAPI endpoint</t>
        </is>
      </c>
      <c r="E18" s="4" t="inlineStr">
        <is>
          <t>Node/NestJS-style endpoint</t>
        </is>
      </c>
      <c r="F18" s="4" t="inlineStr">
        <is>
          <t>Validation, correlation ID</t>
        </is>
      </c>
      <c r="G18" s="4" t="inlineStr">
        <is>
          <t>Stable API contract</t>
        </is>
      </c>
      <c r="H18" s="4" t="inlineStr">
        <is>
          <t>Not Started</t>
        </is>
      </c>
    </row>
    <row r="19">
      <c r="A19" s="4" t="inlineStr">
        <is>
          <t>M8</t>
        </is>
      </c>
      <c r="B19" s="4" t="inlineStr">
        <is>
          <t>Query Understanding</t>
        </is>
      </c>
      <c r="C19" s="4" t="inlineStr">
        <is>
          <t>Preprocessing</t>
        </is>
      </c>
      <c r="D19" s="4" t="inlineStr">
        <is>
          <t>Normalize query</t>
        </is>
      </c>
      <c r="E19" s="4" t="inlineStr">
        <is>
          <t>Normalize query</t>
        </is>
      </c>
      <c r="F19" s="4" t="inlineStr">
        <is>
          <t>Input limits + injection-aware preprocessing</t>
        </is>
      </c>
      <c r="G19" s="4" t="inlineStr">
        <is>
          <t>Deterministic normalization</t>
        </is>
      </c>
      <c r="H19" s="4" t="inlineStr">
        <is>
          <t>Not Started</t>
        </is>
      </c>
    </row>
    <row r="20">
      <c r="A20" s="4" t="inlineStr">
        <is>
          <t>M8</t>
        </is>
      </c>
      <c r="B20" s="4" t="inlineStr">
        <is>
          <t>Query Understanding</t>
        </is>
      </c>
      <c r="C20" s="4" t="inlineStr">
        <is>
          <t>Query rewriting</t>
        </is>
      </c>
      <c r="D20" s="4" t="inlineStr">
        <is>
          <t>Rule/template rewrite</t>
        </is>
      </c>
      <c r="E20" s="4" t="inlineStr">
        <is>
          <t>LLM-assisted rewrite</t>
        </is>
      </c>
      <c r="F20" s="4" t="inlineStr">
        <is>
          <t>Bounded retries + fallback</t>
        </is>
      </c>
      <c r="G20" s="4" t="inlineStr">
        <is>
          <t>Rewrite improves retrieval</t>
        </is>
      </c>
      <c r="H20" s="4" t="inlineStr">
        <is>
          <t>Not Started</t>
        </is>
      </c>
    </row>
    <row r="21">
      <c r="A21" s="4" t="inlineStr">
        <is>
          <t>M9</t>
        </is>
      </c>
      <c r="B21" s="4" t="inlineStr">
        <is>
          <t>Hybrid Retrieval</t>
        </is>
      </c>
      <c r="C21" s="4" t="inlineStr">
        <is>
          <t>Vector retrieval</t>
        </is>
      </c>
      <c r="D21" s="4" t="inlineStr">
        <is>
          <t>Top-K semantic search</t>
        </is>
      </c>
      <c r="E21" s="4" t="inlineStr">
        <is>
          <t>Top-K semantic search</t>
        </is>
      </c>
      <c r="F21" s="4" t="inlineStr">
        <is>
          <t>Filters, tenant scope</t>
        </is>
      </c>
      <c r="G21" s="4" t="inlineStr">
        <is>
          <t>Vector recall measured</t>
        </is>
      </c>
      <c r="H21" s="4" t="inlineStr">
        <is>
          <t>Not Started</t>
        </is>
      </c>
    </row>
    <row r="22">
      <c r="A22" s="4" t="inlineStr">
        <is>
          <t>M9</t>
        </is>
      </c>
      <c r="B22" s="4" t="inlineStr">
        <is>
          <t>Hybrid Retrieval</t>
        </is>
      </c>
      <c r="C22" s="4" t="inlineStr">
        <is>
          <t>Keyword retrieval</t>
        </is>
      </c>
      <c r="D22" s="4" t="inlineStr">
        <is>
          <t>BM25/full-text</t>
        </is>
      </c>
      <c r="E22" s="4" t="inlineStr">
        <is>
          <t>Equivalent retrieval</t>
        </is>
      </c>
      <c r="F22" s="4" t="inlineStr">
        <is>
          <t>Filters + exact-match behavior</t>
        </is>
      </c>
      <c r="G22" s="4" t="inlineStr">
        <is>
          <t>Keyword recall measured</t>
        </is>
      </c>
      <c r="H22" s="4" t="inlineStr">
        <is>
          <t>Not Started</t>
        </is>
      </c>
    </row>
    <row r="23">
      <c r="A23" s="4" t="inlineStr">
        <is>
          <t>M9</t>
        </is>
      </c>
      <c r="B23" s="4" t="inlineStr">
        <is>
          <t>Hybrid Retrieval</t>
        </is>
      </c>
      <c r="C23" s="4" t="inlineStr">
        <is>
          <t>Fusion</t>
        </is>
      </c>
      <c r="D23" s="4" t="inlineStr">
        <is>
          <t>RRF/weighted fusion</t>
        </is>
      </c>
      <c r="E23" s="4" t="inlineStr">
        <is>
          <t>Same algorithm in TS</t>
        </is>
      </c>
      <c r="F23" s="4" t="inlineStr">
        <is>
          <t>Deduplication + score normalization</t>
        </is>
      </c>
      <c r="G23" s="4" t="inlineStr">
        <is>
          <t>Hybrid beats baseline</t>
        </is>
      </c>
      <c r="H23" s="4" t="inlineStr">
        <is>
          <t>Not Started</t>
        </is>
      </c>
    </row>
    <row r="24">
      <c r="A24" s="4" t="inlineStr">
        <is>
          <t>M10</t>
        </is>
      </c>
      <c r="B24" s="4" t="inlineStr">
        <is>
          <t>Reranking</t>
        </is>
      </c>
      <c r="C24" s="4" t="inlineStr">
        <is>
          <t>Reranker A</t>
        </is>
      </c>
      <c r="D24" s="4" t="inlineStr">
        <is>
          <t>Cross-encoder</t>
        </is>
      </c>
      <c r="E24" s="4" t="inlineStr">
        <is>
          <t>API/local equivalent</t>
        </is>
      </c>
      <c r="F24" s="4" t="inlineStr">
        <is>
          <t>Timeout + fallback</t>
        </is>
      </c>
      <c r="G24" s="4" t="inlineStr">
        <is>
          <t>Measured reranking lift</t>
        </is>
      </c>
      <c r="H24" s="4" t="inlineStr">
        <is>
          <t>Not Started</t>
        </is>
      </c>
    </row>
    <row r="25">
      <c r="A25" s="4" t="inlineStr">
        <is>
          <t>M10</t>
        </is>
      </c>
      <c r="B25" s="4" t="inlineStr">
        <is>
          <t>Reranking</t>
        </is>
      </c>
      <c r="C25" s="4" t="inlineStr">
        <is>
          <t>Reranker B</t>
        </is>
      </c>
      <c r="D25" s="4" t="inlineStr">
        <is>
          <t>LLM-based reranking experiment</t>
        </is>
      </c>
      <c r="E25" s="4" t="inlineStr">
        <is>
          <t>LLM-based reranking experiment</t>
        </is>
      </c>
      <c r="F25" s="4" t="inlineStr">
        <is>
          <t>Cost/latency guardrails</t>
        </is>
      </c>
      <c r="G25" s="4" t="inlineStr">
        <is>
          <t>Trade-off documented</t>
        </is>
      </c>
      <c r="H25" s="4" t="inlineStr">
        <is>
          <t>Not Started</t>
        </is>
      </c>
    </row>
    <row r="26">
      <c r="A26" s="4" t="inlineStr">
        <is>
          <t>M11</t>
        </is>
      </c>
      <c r="B26" s="4" t="inlineStr">
        <is>
          <t>Context</t>
        </is>
      </c>
      <c r="C26" s="4" t="inlineStr">
        <is>
          <t>Context packing</t>
        </is>
      </c>
      <c r="D26" s="4" t="inlineStr">
        <is>
          <t>Top-K context</t>
        </is>
      </c>
      <c r="E26" s="4" t="inlineStr">
        <is>
          <t>Token-aware context</t>
        </is>
      </c>
      <c r="F26" s="4" t="inlineStr">
        <is>
          <t>Token budget enforcement</t>
        </is>
      </c>
      <c r="G26" s="4" t="inlineStr">
        <is>
          <t>No context overflow</t>
        </is>
      </c>
      <c r="H26" s="4" t="inlineStr">
        <is>
          <t>Not Started</t>
        </is>
      </c>
    </row>
    <row r="27">
      <c r="A27" s="4" t="inlineStr">
        <is>
          <t>M11</t>
        </is>
      </c>
      <c r="B27" s="4" t="inlineStr">
        <is>
          <t>Context</t>
        </is>
      </c>
      <c r="C27" s="4" t="inlineStr">
        <is>
          <t>Prompt construction</t>
        </is>
      </c>
      <c r="D27" s="4" t="inlineStr">
        <is>
          <t>Versioned prompt template</t>
        </is>
      </c>
      <c r="E27" s="4" t="inlineStr">
        <is>
          <t>Versioned TS template</t>
        </is>
      </c>
      <c r="F27" s="4" t="inlineStr">
        <is>
          <t>Prompt version metadata</t>
        </is>
      </c>
      <c r="G27" s="4" t="inlineStr">
        <is>
          <t>Prompt reproducible</t>
        </is>
      </c>
      <c r="H27" s="4" t="inlineStr">
        <is>
          <t>Not Started</t>
        </is>
      </c>
    </row>
    <row r="28">
      <c r="A28" s="4" t="inlineStr">
        <is>
          <t>M12</t>
        </is>
      </c>
      <c r="B28" s="4" t="inlineStr">
        <is>
          <t>Generation</t>
        </is>
      </c>
      <c r="C28" s="4" t="inlineStr">
        <is>
          <t>LLM provider A</t>
        </is>
      </c>
      <c r="D28" s="4" t="inlineStr">
        <is>
          <t>Cloud LLM</t>
        </is>
      </c>
      <c r="E28" s="4" t="inlineStr">
        <is>
          <t>Cloud LLM</t>
        </is>
      </c>
      <c r="F28" s="4" t="inlineStr">
        <is>
          <t>Timeouts, retries, streaming</t>
        </is>
      </c>
      <c r="G28" s="4" t="inlineStr">
        <is>
          <t>Provider abstraction</t>
        </is>
      </c>
      <c r="H28" s="4" t="inlineStr">
        <is>
          <t>Not Started</t>
        </is>
      </c>
    </row>
    <row r="29">
      <c r="A29" s="4" t="inlineStr">
        <is>
          <t>M12</t>
        </is>
      </c>
      <c r="B29" s="4" t="inlineStr">
        <is>
          <t>Generation</t>
        </is>
      </c>
      <c r="C29" s="4" t="inlineStr">
        <is>
          <t>LLM provider B</t>
        </is>
      </c>
      <c r="D29" s="4" t="inlineStr">
        <is>
          <t>Alternative/local LLM</t>
        </is>
      </c>
      <c r="E29" s="4" t="inlineStr">
        <is>
          <t>Alternative/local LLM</t>
        </is>
      </c>
      <c r="F29" s="4" t="inlineStr">
        <is>
          <t>Normalized errors/metadata</t>
        </is>
      </c>
      <c r="G29" s="4" t="inlineStr">
        <is>
          <t>Provider comparison</t>
        </is>
      </c>
      <c r="H29" s="4" t="inlineStr">
        <is>
          <t>Not Started</t>
        </is>
      </c>
    </row>
    <row r="30">
      <c r="A30" s="4" t="inlineStr">
        <is>
          <t>M13</t>
        </is>
      </c>
      <c r="B30" s="4" t="inlineStr">
        <is>
          <t>Citations</t>
        </is>
      </c>
      <c r="C30" s="4" t="inlineStr">
        <is>
          <t>Source attribution</t>
        </is>
      </c>
      <c r="D30" s="4" t="inlineStr">
        <is>
          <t>Chunk IDs → source references</t>
        </is>
      </c>
      <c r="E30" s="4" t="inlineStr">
        <is>
          <t>Same response model</t>
        </is>
      </c>
      <c r="F30" s="4" t="inlineStr">
        <is>
          <t>Citation validation</t>
        </is>
      </c>
      <c r="G30" s="4" t="inlineStr">
        <is>
          <t>Every factual claim has source where required</t>
        </is>
      </c>
      <c r="H30" s="4" t="inlineStr">
        <is>
          <t>Not Started</t>
        </is>
      </c>
    </row>
    <row r="31">
      <c r="A31" s="4" t="inlineStr">
        <is>
          <t>M14</t>
        </is>
      </c>
      <c r="B31" s="4" t="inlineStr">
        <is>
          <t>Feedback</t>
        </is>
      </c>
      <c r="C31" s="4" t="inlineStr">
        <is>
          <t>User feedback</t>
        </is>
      </c>
      <c r="D31" s="4" t="inlineStr">
        <is>
          <t>Helpful/not helpful</t>
        </is>
      </c>
      <c r="E31" s="4" t="inlineStr">
        <is>
          <t>API event capture</t>
        </is>
      </c>
      <c r="F31" s="4" t="inlineStr">
        <is>
          <t>PII minimization</t>
        </is>
      </c>
      <c r="G31" s="4" t="inlineStr">
        <is>
          <t>Feedback persisted</t>
        </is>
      </c>
      <c r="H31" s="4" t="inlineStr">
        <is>
          <t>Not Started</t>
        </is>
      </c>
    </row>
    <row r="32">
      <c r="A32" s="4" t="inlineStr">
        <is>
          <t>M15</t>
        </is>
      </c>
      <c r="B32" s="4" t="inlineStr">
        <is>
          <t>Evaluation</t>
        </is>
      </c>
      <c r="C32" s="4" t="inlineStr">
        <is>
          <t>Retrieval evaluation</t>
        </is>
      </c>
      <c r="D32" s="4" t="inlineStr">
        <is>
          <t>Recall@K, MRR/nDCG</t>
        </is>
      </c>
      <c r="E32" s="4" t="inlineStr">
        <is>
          <t>Evaluation service/API</t>
        </is>
      </c>
      <c r="F32" s="4" t="inlineStr">
        <is>
          <t>Golden dataset versioning</t>
        </is>
      </c>
      <c r="G32" s="4" t="inlineStr">
        <is>
          <t>Baseline metrics established</t>
        </is>
      </c>
      <c r="H32" s="4" t="inlineStr">
        <is>
          <t>Not Started</t>
        </is>
      </c>
    </row>
    <row r="33">
      <c r="A33" s="4" t="inlineStr">
        <is>
          <t>M15</t>
        </is>
      </c>
      <c r="B33" s="4" t="inlineStr">
        <is>
          <t>Evaluation</t>
        </is>
      </c>
      <c r="C33" s="4" t="inlineStr">
        <is>
          <t>Generation evaluation</t>
        </is>
      </c>
      <c r="D33" s="4" t="inlineStr">
        <is>
          <t>Faithfulness, relevance, citation correctness</t>
        </is>
      </c>
      <c r="E33" s="4" t="inlineStr">
        <is>
          <t>Evaluation endpoint</t>
        </is>
      </c>
      <c r="F33" s="4" t="inlineStr">
        <is>
          <t>Regression thresholds</t>
        </is>
      </c>
      <c r="G33" s="4" t="inlineStr">
        <is>
          <t>Automated eval report</t>
        </is>
      </c>
      <c r="H33" s="4" t="inlineStr">
        <is>
          <t>Not Started</t>
        </is>
      </c>
    </row>
    <row r="34">
      <c r="A34" s="4" t="inlineStr">
        <is>
          <t>M16</t>
        </is>
      </c>
      <c r="B34" s="4" t="inlineStr">
        <is>
          <t>Failure Analysis</t>
        </is>
      </c>
      <c r="C34" s="4" t="inlineStr">
        <is>
          <t>Failure taxonomy</t>
        </is>
      </c>
      <c r="D34" s="4" t="inlineStr">
        <is>
          <t>Retrieval/generation failure classes</t>
        </is>
      </c>
      <c r="E34" s="4" t="inlineStr">
        <is>
          <t>Dashboard/API view</t>
        </is>
      </c>
      <c r="F34" s="4" t="inlineStr">
        <is>
          <t>Root-cause metadata</t>
        </is>
      </c>
      <c r="G34" s="4" t="inlineStr">
        <is>
          <t>Failures categorized</t>
        </is>
      </c>
      <c r="H34" s="4" t="inlineStr">
        <is>
          <t>Not Started</t>
        </is>
      </c>
    </row>
    <row r="35">
      <c r="A35" s="4" t="inlineStr">
        <is>
          <t>M17</t>
        </is>
      </c>
      <c r="B35" s="4" t="inlineStr">
        <is>
          <t>Continuous Improvement</t>
        </is>
      </c>
      <c r="C35" s="4" t="inlineStr">
        <is>
          <t>Re-index loop</t>
        </is>
      </c>
      <c r="D35" s="4" t="inlineStr">
        <is>
          <t>Update → chunk → embed → index</t>
        </is>
      </c>
      <c r="E35" s="4" t="inlineStr">
        <is>
          <t>Async job trigger</t>
        </is>
      </c>
      <c r="F35" s="4" t="inlineStr">
        <is>
          <t>Idempotent jobs + versioning</t>
        </is>
      </c>
      <c r="G35" s="4" t="inlineStr">
        <is>
          <t>Safe re-indexing</t>
        </is>
      </c>
      <c r="H35" s="4" t="inlineStr">
        <is>
          <t>Not Started</t>
        </is>
      </c>
    </row>
    <row r="36">
      <c r="A36" s="4" t="inlineStr">
        <is>
          <t>M18</t>
        </is>
      </c>
      <c r="B36" s="4" t="inlineStr">
        <is>
          <t>Security</t>
        </is>
      </c>
      <c r="C36" s="4" t="inlineStr">
        <is>
          <t>Prompt injection</t>
        </is>
      </c>
      <c r="D36" s="4" t="inlineStr">
        <is>
          <t>Detection + isolation</t>
        </is>
      </c>
      <c r="E36" s="4" t="inlineStr">
        <is>
          <t>Middleware/guard</t>
        </is>
      </c>
      <c r="F36" s="4" t="inlineStr">
        <is>
          <t>Defense in depth</t>
        </is>
      </c>
      <c r="G36" s="4" t="inlineStr">
        <is>
          <t>Attack suite passes baseline</t>
        </is>
      </c>
      <c r="H36" s="4" t="inlineStr">
        <is>
          <t>Not Started</t>
        </is>
      </c>
    </row>
    <row r="37">
      <c r="A37" s="4" t="inlineStr">
        <is>
          <t>M18</t>
        </is>
      </c>
      <c r="B37" s="4" t="inlineStr">
        <is>
          <t>Security</t>
        </is>
      </c>
      <c r="C37" s="4" t="inlineStr">
        <is>
          <t>Access control</t>
        </is>
      </c>
      <c r="D37" s="4" t="inlineStr">
        <is>
          <t>Document-level authorization</t>
        </is>
      </c>
      <c r="E37" s="4" t="inlineStr">
        <is>
          <t>API authorization</t>
        </is>
      </c>
      <c r="F37" s="4" t="inlineStr">
        <is>
          <t>Tenant isolation</t>
        </is>
      </c>
      <c r="G37" s="4" t="inlineStr">
        <is>
          <t>Unauthorized data never retrieved</t>
        </is>
      </c>
      <c r="H37" s="4" t="inlineStr">
        <is>
          <t>Not Started</t>
        </is>
      </c>
    </row>
    <row r="38">
      <c r="A38" s="4" t="inlineStr">
        <is>
          <t>M19</t>
        </is>
      </c>
      <c r="B38" s="4" t="inlineStr">
        <is>
          <t>Observability</t>
        </is>
      </c>
      <c r="C38" s="4" t="inlineStr">
        <is>
          <t>Tracing</t>
        </is>
      </c>
      <c r="D38" s="4" t="inlineStr">
        <is>
          <t>OpenTelemetry-style spans</t>
        </is>
      </c>
      <c r="E38" s="4" t="inlineStr">
        <is>
          <t>OpenTelemetry-style spans</t>
        </is>
      </c>
      <c r="F38" s="4" t="inlineStr">
        <is>
          <t>End-to-end trace correlation</t>
        </is>
      </c>
      <c r="G38" s="4" t="inlineStr">
        <is>
          <t>Trace query lifecycle</t>
        </is>
      </c>
      <c r="H38" s="4" t="inlineStr">
        <is>
          <t>Not Started</t>
        </is>
      </c>
    </row>
    <row r="39">
      <c r="A39" s="4" t="inlineStr">
        <is>
          <t>M19</t>
        </is>
      </c>
      <c r="B39" s="4" t="inlineStr">
        <is>
          <t>Observability</t>
        </is>
      </c>
      <c r="C39" s="4" t="inlineStr">
        <is>
          <t>Metrics</t>
        </is>
      </c>
      <c r="D39" s="4" t="inlineStr">
        <is>
          <t>Latency/tokens/cost/retrieval metrics</t>
        </is>
      </c>
      <c r="E39" s="4" t="inlineStr">
        <is>
          <t>Service metrics</t>
        </is>
      </c>
      <c r="F39" s="4" t="inlineStr">
        <is>
          <t>SLIs/SLOs + alerts</t>
        </is>
      </c>
      <c r="G39" s="4" t="inlineStr">
        <is>
          <t>Dashboards show key signals</t>
        </is>
      </c>
      <c r="H39" s="4" t="inlineStr">
        <is>
          <t>Not Started</t>
        </is>
      </c>
    </row>
    <row r="40">
      <c r="A40" s="4" t="inlineStr">
        <is>
          <t>M20</t>
        </is>
      </c>
      <c r="B40" s="4" t="inlineStr">
        <is>
          <t>Reliability</t>
        </is>
      </c>
      <c r="C40" s="4" t="inlineStr">
        <is>
          <t>Resilience</t>
        </is>
      </c>
      <c r="D40" s="4" t="inlineStr">
        <is>
          <t>Retries/timeouts/fallbacks</t>
        </is>
      </c>
      <c r="E40" s="4" t="inlineStr">
        <is>
          <t>Same patterns in TS</t>
        </is>
      </c>
      <c r="F40" s="4" t="inlineStr">
        <is>
          <t>Circuit breakers, bulkheads, idempotency</t>
        </is>
      </c>
      <c r="G40" s="4" t="inlineStr">
        <is>
          <t>Failure tests pass</t>
        </is>
      </c>
      <c r="H40" s="4" t="inlineStr">
        <is>
          <t>Not Started</t>
        </is>
      </c>
    </row>
    <row r="41">
      <c r="A41" s="4" t="inlineStr">
        <is>
          <t>M21</t>
        </is>
      </c>
      <c r="B41" s="4" t="inlineStr">
        <is>
          <t>Performance</t>
        </is>
      </c>
      <c r="C41" s="4" t="inlineStr">
        <is>
          <t>Caching</t>
        </is>
      </c>
      <c r="D41" s="4" t="inlineStr">
        <is>
          <t>Embedding/retrieval/LLM caches</t>
        </is>
      </c>
      <c r="E41" s="4" t="inlineStr">
        <is>
          <t>Node cache layer</t>
        </is>
      </c>
      <c r="F41" s="4" t="inlineStr">
        <is>
          <t>Cache invalidation + safety</t>
        </is>
      </c>
      <c r="G41" s="4" t="inlineStr">
        <is>
          <t>Latency/cost reduced</t>
        </is>
      </c>
      <c r="H41" s="4" t="inlineStr">
        <is>
          <t>Not Started</t>
        </is>
      </c>
    </row>
    <row r="42">
      <c r="A42" s="4" t="inlineStr">
        <is>
          <t>M21</t>
        </is>
      </c>
      <c r="B42" s="4" t="inlineStr">
        <is>
          <t>Performance</t>
        </is>
      </c>
      <c r="C42" s="4" t="inlineStr">
        <is>
          <t>Concurrency</t>
        </is>
      </c>
      <c r="D42" s="4" t="inlineStr">
        <is>
          <t>Batching + async workers</t>
        </is>
      </c>
      <c r="E42" s="4" t="inlineStr">
        <is>
          <t>Node async/concurrency</t>
        </is>
      </c>
      <c r="F42" s="4" t="inlineStr">
        <is>
          <t>Backpressure + rate limits</t>
        </is>
      </c>
      <c r="G42" s="4" t="inlineStr">
        <is>
          <t>Throughput benchmark</t>
        </is>
      </c>
      <c r="H42" s="4" t="inlineStr">
        <is>
          <t>Not Started</t>
        </is>
      </c>
    </row>
    <row r="43">
      <c r="A43" s="4" t="inlineStr">
        <is>
          <t>M22</t>
        </is>
      </c>
      <c r="B43" s="4" t="inlineStr">
        <is>
          <t>Deployment</t>
        </is>
      </c>
      <c r="C43" s="4" t="inlineStr">
        <is>
          <t>Containerization</t>
        </is>
      </c>
      <c r="D43" s="4" t="inlineStr">
        <is>
          <t>Docker + service</t>
        </is>
      </c>
      <c r="E43" s="4" t="inlineStr">
        <is>
          <t>Docker + Node service</t>
        </is>
      </c>
      <c r="F43" s="4" t="inlineStr">
        <is>
          <t>Immutable builds + health checks</t>
        </is>
      </c>
      <c r="G43" s="4" t="inlineStr">
        <is>
          <t>Deployable artifacts</t>
        </is>
      </c>
      <c r="H43" s="4" t="inlineStr">
        <is>
          <t>Not Started</t>
        </is>
      </c>
    </row>
    <row r="44">
      <c r="A44" s="4" t="inlineStr">
        <is>
          <t>M23</t>
        </is>
      </c>
      <c r="B44" s="4" t="inlineStr">
        <is>
          <t>Governance</t>
        </is>
      </c>
      <c r="C44" s="4" t="inlineStr">
        <is>
          <t>Audit &amp; lifecycle</t>
        </is>
      </c>
      <c r="D44" s="4" t="inlineStr">
        <is>
          <t>Audit events + retention</t>
        </is>
      </c>
      <c r="E44" s="4" t="inlineStr">
        <is>
          <t>API audit middleware</t>
        </is>
      </c>
      <c r="F44" s="4" t="inlineStr">
        <is>
          <t>Data retention + deletion</t>
        </is>
      </c>
      <c r="G44" s="4" t="inlineStr">
        <is>
          <t>Governance controls documented</t>
        </is>
      </c>
      <c r="H44" s="4" t="inlineStr">
        <is>
          <t>Not Started</t>
        </is>
      </c>
    </row>
    <row r="45">
      <c r="A45" s="4" t="inlineStr">
        <is>
          <t>M24</t>
        </is>
      </c>
      <c r="B45" s="4" t="inlineStr">
        <is>
          <t>Production RAG</t>
        </is>
      </c>
      <c r="C45" s="4" t="inlineStr">
        <is>
          <t>Integrated system</t>
        </is>
      </c>
      <c r="D45" s="4" t="inlineStr">
        <is>
          <t>Full Python reference</t>
        </is>
      </c>
      <c r="E45" s="4" t="inlineStr">
        <is>
          <t>Full TS application layer</t>
        </is>
      </c>
      <c r="F45" s="4" t="inlineStr">
        <is>
          <t>Architecture, SLOs, security, observability</t>
        </is>
      </c>
      <c r="G45" s="4" t="inlineStr">
        <is>
          <t>Production readiness review</t>
        </is>
      </c>
      <c r="H45" s="4" t="inlineStr">
        <is>
          <t>Not Started</t>
        </is>
      </c>
    </row>
    <row r="46">
      <c r="A46" s="4" t="inlineStr">
        <is>
          <t>M25</t>
        </is>
      </c>
      <c r="B46" s="4" t="inlineStr">
        <is>
          <t>Advanced RAG</t>
        </is>
      </c>
      <c r="C46" s="4" t="inlineStr">
        <is>
          <t>Advanced retrieval patterns</t>
        </is>
      </c>
      <c r="D46" s="4" t="inlineStr">
        <is>
          <t>Multi-query/HyDE/parent-child</t>
        </is>
      </c>
      <c r="E46" s="4" t="inlineStr">
        <is>
          <t>TS orchestration variants</t>
        </is>
      </c>
      <c r="F46" s="4" t="inlineStr">
        <is>
          <t>Use-case driven selection</t>
        </is>
      </c>
      <c r="G46" s="4" t="inlineStr">
        <is>
          <t>Pattern benchmark</t>
        </is>
      </c>
      <c r="H46" s="4" t="inlineStr">
        <is>
          <t>Not Started</t>
        </is>
      </c>
    </row>
    <row r="47">
      <c r="A47" s="4" t="inlineStr">
        <is>
          <t>M26</t>
        </is>
      </c>
      <c r="B47" s="4" t="inlineStr">
        <is>
          <t>Agentic Evolution</t>
        </is>
      </c>
      <c r="C47" s="4" t="inlineStr">
        <is>
          <t>RAG + agents</t>
        </is>
      </c>
      <c r="D47" s="4" t="inlineStr">
        <is>
          <t>Tool-aware RAG</t>
        </is>
      </c>
      <c r="E47" s="4" t="inlineStr">
        <is>
          <t>MCP/A2A-ready orchestration</t>
        </is>
      </c>
      <c r="F47" s="4" t="inlineStr">
        <is>
          <t>Guarded actions + human approval</t>
        </is>
      </c>
      <c r="G47" s="4" t="inlineStr">
        <is>
          <t>Agentic RAG demo</t>
        </is>
      </c>
      <c r="H47" s="4" t="inlineStr">
        <is>
          <t>Not Started</t>
        </is>
      </c>
    </row>
  </sheetData>
  <autoFilter ref="A3:H47"/>
  <mergeCells count="1">
    <mergeCell ref="A1:H1"/>
  </mergeCells>
  <dataValidations count="1">
    <dataValidation sqref="H4:H47" showDropDown="0" showInputMessage="0" showErrorMessage="0" allowBlank="0" type="list">
      <formula1>"Not Started,In Progress,Blocked,Complete"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58" customWidth="1" min="3" max="3"/>
    <col width="18" customWidth="1" min="4" max="4"/>
    <col width="48" customWidth="1" min="5" max="5"/>
    <col width="20" customWidth="1" min="6" max="6"/>
    <col width="16" customWidth="1" min="7" max="7"/>
  </cols>
  <sheetData>
    <row r="1">
      <c r="A1" s="1" t="inlineStr">
        <is>
          <t>Coverage Against Supplied RAG Architecture</t>
        </is>
      </c>
    </row>
    <row r="3">
      <c r="A3" s="3" t="inlineStr">
        <is>
          <t>Architecture Area</t>
        </is>
      </c>
      <c r="B3" s="3" t="inlineStr">
        <is>
          <t>Diagram Step</t>
        </is>
      </c>
      <c r="C3" s="3" t="inlineStr">
        <is>
          <t>What We Implement</t>
        </is>
      </c>
      <c r="D3" s="3" t="inlineStr">
        <is>
          <t>Minimum Demos</t>
        </is>
      </c>
      <c r="E3" s="3" t="inlineStr">
        <is>
          <t>Advanced Evolution</t>
        </is>
      </c>
      <c r="F3" s="3" t="inlineStr">
        <is>
          <t>Primary Language</t>
        </is>
      </c>
      <c r="G3" s="3" t="inlineStr">
        <is>
          <t>Status</t>
        </is>
      </c>
    </row>
    <row r="4">
      <c r="A4" s="4" t="inlineStr">
        <is>
          <t>Ingestion &amp; Indexing</t>
        </is>
      </c>
      <c r="B4" s="4" t="inlineStr">
        <is>
          <t>1. Data Sources</t>
        </is>
      </c>
      <c r="C4" s="4" t="inlineStr">
        <is>
          <t>Files + web pages; normalized source model</t>
        </is>
      </c>
      <c r="D4" s="4" t="inlineStr">
        <is>
          <t>2</t>
        </is>
      </c>
      <c r="E4" s="4" t="inlineStr">
        <is>
          <t>DB, API, email, knowledge bases</t>
        </is>
      </c>
      <c r="F4" s="4" t="inlineStr">
        <is>
          <t>Python</t>
        </is>
      </c>
      <c r="G4" s="4" t="inlineStr">
        <is>
          <t>Not Started</t>
        </is>
      </c>
    </row>
    <row r="5">
      <c r="A5" s="4" t="inlineStr">
        <is>
          <t>Ingestion &amp; Indexing</t>
        </is>
      </c>
      <c r="B5" s="4" t="inlineStr">
        <is>
          <t>2. Connectors</t>
        </is>
      </c>
      <c r="C5" s="4" t="inlineStr">
        <is>
          <t>File + web connectors</t>
        </is>
      </c>
      <c r="D5" s="4" t="inlineStr">
        <is>
          <t>2</t>
        </is>
      </c>
      <c r="E5" s="4" t="inlineStr">
        <is>
          <t>Connector registry + async ingestion</t>
        </is>
      </c>
      <c r="F5" s="4" t="inlineStr">
        <is>
          <t>Python</t>
        </is>
      </c>
      <c r="G5" s="4" t="inlineStr">
        <is>
          <t>Not Started</t>
        </is>
      </c>
    </row>
    <row r="6">
      <c r="A6" s="4" t="inlineStr">
        <is>
          <t>Ingestion &amp; Indexing</t>
        </is>
      </c>
      <c r="B6" s="4" t="inlineStr">
        <is>
          <t>3. Parsing &amp; Extraction</t>
        </is>
      </c>
      <c r="C6" s="4" t="inlineStr">
        <is>
          <t>PDF/DOCX/TXT + HTML extraction</t>
        </is>
      </c>
      <c r="D6" s="4" t="inlineStr">
        <is>
          <t>2</t>
        </is>
      </c>
      <c r="E6" s="4" t="inlineStr">
        <is>
          <t>OCR, tables, metadata, language</t>
        </is>
      </c>
      <c r="F6" s="4" t="inlineStr">
        <is>
          <t>Python</t>
        </is>
      </c>
      <c r="G6" s="4" t="inlineStr">
        <is>
          <t>Not Started</t>
        </is>
      </c>
    </row>
    <row r="7">
      <c r="A7" s="4" t="inlineStr">
        <is>
          <t>Ingestion &amp; Indexing</t>
        </is>
      </c>
      <c r="B7" s="4" t="inlineStr">
        <is>
          <t>4. Chunking</t>
        </is>
      </c>
      <c r="C7" s="4" t="inlineStr">
        <is>
          <t>Recursive/fixed + semantic</t>
        </is>
      </c>
      <c r="D7" s="4" t="inlineStr">
        <is>
          <t>2</t>
        </is>
      </c>
      <c r="E7" s="4" t="inlineStr">
        <is>
          <t>Parent-child, structure-aware</t>
        </is>
      </c>
      <c r="F7" s="4" t="inlineStr">
        <is>
          <t>Python</t>
        </is>
      </c>
      <c r="G7" s="4" t="inlineStr">
        <is>
          <t>Not Started</t>
        </is>
      </c>
    </row>
    <row r="8">
      <c r="A8" s="4" t="inlineStr">
        <is>
          <t>Ingestion &amp; Indexing</t>
        </is>
      </c>
      <c r="B8" s="4" t="inlineStr">
        <is>
          <t>5. Embedding Generation</t>
        </is>
      </c>
      <c r="C8" s="4" t="inlineStr">
        <is>
          <t>Cloud + local embeddings</t>
        </is>
      </c>
      <c r="D8" s="4" t="inlineStr">
        <is>
          <t>2</t>
        </is>
      </c>
      <c r="E8" s="4" t="inlineStr">
        <is>
          <t>Model routing/versioning</t>
        </is>
      </c>
      <c r="F8" s="4" t="inlineStr">
        <is>
          <t>Python</t>
        </is>
      </c>
      <c r="G8" s="4" t="inlineStr">
        <is>
          <t>Not Started</t>
        </is>
      </c>
    </row>
    <row r="9">
      <c r="A9" s="4" t="inlineStr">
        <is>
          <t>Ingestion &amp; Indexing</t>
        </is>
      </c>
      <c r="B9" s="4" t="inlineStr">
        <is>
          <t>6. Indexing</t>
        </is>
      </c>
      <c r="C9" s="4" t="inlineStr">
        <is>
          <t>Vector + keyword/BM25</t>
        </is>
      </c>
      <c r="D9" s="4" t="inlineStr">
        <is>
          <t>2</t>
        </is>
      </c>
      <c r="E9" s="4" t="inlineStr">
        <is>
          <t>Distributed vector DB, index versioning</t>
        </is>
      </c>
      <c r="F9" s="4" t="inlineStr">
        <is>
          <t>Python</t>
        </is>
      </c>
      <c r="G9" s="4" t="inlineStr">
        <is>
          <t>Not Started</t>
        </is>
      </c>
    </row>
    <row r="10">
      <c r="A10" s="4" t="inlineStr">
        <is>
          <t>Retrieval &amp; Generation</t>
        </is>
      </c>
      <c r="B10" s="4" t="inlineStr">
        <is>
          <t>1. User Query</t>
        </is>
      </c>
      <c r="C10" s="4" t="inlineStr">
        <is>
          <t>Validated API/query contract</t>
        </is>
      </c>
      <c r="D10" s="4" t="inlineStr">
        <is>
          <t>2</t>
        </is>
      </c>
      <c r="E10" s="4" t="inlineStr">
        <is>
          <t>Multi-tenant API</t>
        </is>
      </c>
      <c r="F10" s="4" t="inlineStr">
        <is>
          <t>Python + TS</t>
        </is>
      </c>
      <c r="G10" s="4" t="inlineStr">
        <is>
          <t>Not Started</t>
        </is>
      </c>
    </row>
    <row r="11">
      <c r="A11" s="4" t="inlineStr">
        <is>
          <t>Retrieval &amp; Generation</t>
        </is>
      </c>
      <c r="B11" s="4" t="inlineStr">
        <is>
          <t>2. Query Understanding</t>
        </is>
      </c>
      <c r="C11" s="4" t="inlineStr">
        <is>
          <t>Preprocessing + rewriting</t>
        </is>
      </c>
      <c r="D11" s="4" t="inlineStr">
        <is>
          <t>2</t>
        </is>
      </c>
      <c r="E11" s="4" t="inlineStr">
        <is>
          <t>Intent routing, multi-query, HyDE</t>
        </is>
      </c>
      <c r="F11" s="4" t="inlineStr">
        <is>
          <t>Python</t>
        </is>
      </c>
      <c r="G11" s="4" t="inlineStr">
        <is>
          <t>Not Started</t>
        </is>
      </c>
    </row>
    <row r="12">
      <c r="A12" s="4" t="inlineStr">
        <is>
          <t>Retrieval &amp; Generation</t>
        </is>
      </c>
      <c r="B12" s="4" t="inlineStr">
        <is>
          <t>3. Retrieval (Hybrid)</t>
        </is>
      </c>
      <c r="C12" s="4" t="inlineStr">
        <is>
          <t>Vector + keyword + fusion</t>
        </is>
      </c>
      <c r="D12" s="4" t="inlineStr">
        <is>
          <t>2</t>
        </is>
      </c>
      <c r="E12" s="4" t="inlineStr">
        <is>
          <t>Filters, query routing, hybrid tuning</t>
        </is>
      </c>
      <c r="F12" s="4" t="inlineStr">
        <is>
          <t>Python</t>
        </is>
      </c>
      <c r="G12" s="4" t="inlineStr">
        <is>
          <t>Not Started</t>
        </is>
      </c>
    </row>
    <row r="13">
      <c r="A13" s="4" t="inlineStr">
        <is>
          <t>Retrieval &amp; Generation</t>
        </is>
      </c>
      <c r="B13" s="4" t="inlineStr">
        <is>
          <t>4. Reranking</t>
        </is>
      </c>
      <c r="C13" s="4" t="inlineStr">
        <is>
          <t>Cross-encoder + LLM reranking</t>
        </is>
      </c>
      <c r="D13" s="4" t="inlineStr">
        <is>
          <t>2</t>
        </is>
      </c>
      <c r="E13" s="4" t="inlineStr">
        <is>
          <t>Adaptive reranking</t>
        </is>
      </c>
      <c r="F13" s="4" t="inlineStr">
        <is>
          <t>Python</t>
        </is>
      </c>
      <c r="G13" s="4" t="inlineStr">
        <is>
          <t>Not Started</t>
        </is>
      </c>
    </row>
    <row r="14">
      <c r="A14" s="4" t="inlineStr">
        <is>
          <t>Retrieval &amp; Generation</t>
        </is>
      </c>
      <c r="B14" s="4" t="inlineStr">
        <is>
          <t>5. Context Assembly</t>
        </is>
      </c>
      <c r="C14" s="4" t="inlineStr">
        <is>
          <t>Prompt + top-K + token budget</t>
        </is>
      </c>
      <c r="D14" s="4" t="inlineStr">
        <is>
          <t>2</t>
        </is>
      </c>
      <c r="E14" s="4" t="inlineStr">
        <is>
          <t>Context compression / packing</t>
        </is>
      </c>
      <c r="F14" s="4" t="inlineStr">
        <is>
          <t>Python + TS</t>
        </is>
      </c>
      <c r="G14" s="4" t="inlineStr">
        <is>
          <t>Not Started</t>
        </is>
      </c>
    </row>
    <row r="15">
      <c r="A15" s="4" t="inlineStr">
        <is>
          <t>Retrieval &amp; Generation</t>
        </is>
      </c>
      <c r="B15" s="4" t="inlineStr">
        <is>
          <t>6. Generation</t>
        </is>
      </c>
      <c r="C15" s="4" t="inlineStr">
        <is>
          <t>Provider abstraction + streaming</t>
        </is>
      </c>
      <c r="D15" s="4" t="inlineStr">
        <is>
          <t>2</t>
        </is>
      </c>
      <c r="E15" s="4" t="inlineStr">
        <is>
          <t>Model routing/fallbacks</t>
        </is>
      </c>
      <c r="F15" s="4" t="inlineStr">
        <is>
          <t>Python + TS</t>
        </is>
      </c>
      <c r="G15" s="4" t="inlineStr">
        <is>
          <t>Not Started</t>
        </is>
      </c>
    </row>
    <row r="16">
      <c r="A16" s="4" t="inlineStr">
        <is>
          <t>Retrieval &amp; Generation</t>
        </is>
      </c>
      <c r="B16" s="4" t="inlineStr">
        <is>
          <t>7. Response + Citations</t>
        </is>
      </c>
      <c r="C16" s="4" t="inlineStr">
        <is>
          <t>Grounded response + citations</t>
        </is>
      </c>
      <c r="D16" s="4" t="inlineStr">
        <is>
          <t>2</t>
        </is>
      </c>
      <c r="E16" s="4" t="inlineStr">
        <is>
          <t>Claim-level attribution</t>
        </is>
      </c>
      <c r="F16" s="4" t="inlineStr">
        <is>
          <t>Python + TS</t>
        </is>
      </c>
      <c r="G16" s="4" t="inlineStr">
        <is>
          <t>Not Started</t>
        </is>
      </c>
    </row>
    <row r="17">
      <c r="A17" s="4" t="inlineStr">
        <is>
          <t>Feedback &amp; Continuous Improvement</t>
        </is>
      </c>
      <c r="B17" s="4" t="inlineStr">
        <is>
          <t>Feedback</t>
        </is>
      </c>
      <c r="C17" s="4" t="inlineStr">
        <is>
          <t>Helpful/not-helpful + analytics</t>
        </is>
      </c>
      <c r="D17" s="4" t="inlineStr">
        <is>
          <t>2</t>
        </is>
      </c>
      <c r="E17" s="4" t="inlineStr">
        <is>
          <t>Implicit feedback</t>
        </is>
      </c>
      <c r="F17" s="4" t="inlineStr">
        <is>
          <t>Python + TS</t>
        </is>
      </c>
      <c r="G17" s="4" t="inlineStr">
        <is>
          <t>Not Started</t>
        </is>
      </c>
    </row>
    <row r="18">
      <c r="A18" s="4" t="inlineStr">
        <is>
          <t>Feedback &amp; Continuous Improvement</t>
        </is>
      </c>
      <c r="B18" s="4" t="inlineStr">
        <is>
          <t>Failure Analysis</t>
        </is>
      </c>
      <c r="C18" s="4" t="inlineStr">
        <is>
          <t>Failure taxonomy + analysis</t>
        </is>
      </c>
      <c r="D18" s="4" t="inlineStr">
        <is>
          <t>2</t>
        </is>
      </c>
      <c r="E18" s="4" t="inlineStr">
        <is>
          <t>Automated clustering/root cause</t>
        </is>
      </c>
      <c r="F18" s="4" t="inlineStr">
        <is>
          <t>Python</t>
        </is>
      </c>
      <c r="G18" s="4" t="inlineStr">
        <is>
          <t>Not Started</t>
        </is>
      </c>
    </row>
    <row r="19">
      <c r="A19" s="4" t="inlineStr">
        <is>
          <t>Feedback &amp; Continuous Improvement</t>
        </is>
      </c>
      <c r="B19" s="4" t="inlineStr">
        <is>
          <t>Evaluation</t>
        </is>
      </c>
      <c r="C19" s="4" t="inlineStr">
        <is>
          <t>Retrieval + generation eval</t>
        </is>
      </c>
      <c r="D19" s="4" t="inlineStr">
        <is>
          <t>2</t>
        </is>
      </c>
      <c r="E19" s="4" t="inlineStr">
        <is>
          <t>Continuous regression gates</t>
        </is>
      </c>
      <c r="F19" s="4" t="inlineStr">
        <is>
          <t>Python</t>
        </is>
      </c>
      <c r="G19" s="4" t="inlineStr">
        <is>
          <t>Not Started</t>
        </is>
      </c>
    </row>
    <row r="20">
      <c r="A20" s="4" t="inlineStr">
        <is>
          <t>Feedback &amp; Continuous Improvement</t>
        </is>
      </c>
      <c r="B20" s="4" t="inlineStr">
        <is>
          <t>Optimization</t>
        </is>
      </c>
      <c r="C20" s="4" t="inlineStr">
        <is>
          <t>Re-index/model/prompt/chunk tuning</t>
        </is>
      </c>
      <c r="D20" s="4" t="inlineStr">
        <is>
          <t>2</t>
        </is>
      </c>
      <c r="E20" s="4" t="inlineStr">
        <is>
          <t>Experimentation/A-B testing</t>
        </is>
      </c>
      <c r="F20" s="4" t="inlineStr">
        <is>
          <t>Python + TS</t>
        </is>
      </c>
      <c r="G20" s="4" t="inlineStr">
        <is>
          <t>Not Started</t>
        </is>
      </c>
    </row>
    <row r="21">
      <c r="A21" s="4" t="inlineStr">
        <is>
          <t>Cross-Cutting</t>
        </is>
      </c>
      <c r="B21" s="4" t="inlineStr">
        <is>
          <t>Guardrails &amp; Safety</t>
        </is>
      </c>
      <c r="C21" s="4" t="inlineStr">
        <is>
          <t>PII, injection, access control, safety</t>
        </is>
      </c>
      <c r="D21" s="4" t="inlineStr">
        <is>
          <t>2+</t>
        </is>
      </c>
      <c r="E21" s="4" t="inlineStr">
        <is>
          <t>Policy engine + defense in depth</t>
        </is>
      </c>
      <c r="F21" s="4" t="inlineStr">
        <is>
          <t>Python + TS</t>
        </is>
      </c>
      <c r="G21" s="4" t="inlineStr">
        <is>
          <t>Not Started</t>
        </is>
      </c>
    </row>
    <row r="22">
      <c r="A22" s="4" t="inlineStr">
        <is>
          <t>Cross-Cutting</t>
        </is>
      </c>
      <c r="B22" s="4" t="inlineStr">
        <is>
          <t>Observability</t>
        </is>
      </c>
      <c r="C22" s="4" t="inlineStr">
        <is>
          <t>Tracing, logs, metrics, cost, alerts</t>
        </is>
      </c>
      <c r="D22" s="4" t="inlineStr">
        <is>
          <t>2+</t>
        </is>
      </c>
      <c r="E22" s="4" t="inlineStr">
        <is>
          <t>SLOs + distributed tracing</t>
        </is>
      </c>
      <c r="F22" s="4" t="inlineStr">
        <is>
          <t>Python + TS</t>
        </is>
      </c>
      <c r="G22" s="4" t="inlineStr">
        <is>
          <t>Not Started</t>
        </is>
      </c>
    </row>
  </sheetData>
  <autoFilter ref="A3:G22"/>
  <mergeCells count="1">
    <mergeCell ref="A1:G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28" customWidth="1" min="4" max="4"/>
    <col width="58" customWidth="1" min="5" max="5"/>
    <col width="16" customWidth="1" min="6" max="6"/>
  </cols>
  <sheetData>
    <row r="1">
      <c r="A1" s="1" t="inlineStr">
        <is>
          <t>Technology Plan — Deliberate Use of Python + TypeScript</t>
        </is>
      </c>
    </row>
    <row r="3">
      <c r="A3" s="3" t="inlineStr">
        <is>
          <t>Layer</t>
        </is>
      </c>
      <c r="B3" s="3" t="inlineStr">
        <is>
          <t>Python Choice</t>
        </is>
      </c>
      <c r="C3" s="3" t="inlineStr">
        <is>
          <t>TypeScript Choice</t>
        </is>
      </c>
      <c r="D3" s="3" t="inlineStr">
        <is>
          <t>Initial Recommendation</t>
        </is>
      </c>
      <c r="E3" s="3" t="inlineStr">
        <is>
          <t>Why</t>
        </is>
      </c>
      <c r="F3" s="3" t="inlineStr">
        <is>
          <t>Status</t>
        </is>
      </c>
    </row>
    <row r="4">
      <c r="A4" s="4" t="inlineStr">
        <is>
          <t>Core language</t>
        </is>
      </c>
      <c r="B4" s="4" t="inlineStr">
        <is>
          <t>Python 3.x + typing</t>
        </is>
      </c>
      <c r="C4" s="4" t="inlineStr">
        <is>
          <t>TypeScript + Node.js</t>
        </is>
      </c>
      <c r="D4" s="4" t="inlineStr">
        <is>
          <t>Python first</t>
        </is>
      </c>
      <c r="E4" s="4" t="inlineStr">
        <is>
          <t>Best ecosystem for document/NLP/RAG experimentation</t>
        </is>
      </c>
      <c r="F4" s="4" t="inlineStr">
        <is>
          <t>Planned</t>
        </is>
      </c>
    </row>
    <row r="5">
      <c r="A5" s="4" t="inlineStr">
        <is>
          <t>API</t>
        </is>
      </c>
      <c r="B5" s="4" t="inlineStr">
        <is>
          <t>FastAPI</t>
        </is>
      </c>
      <c r="C5" s="4" t="inlineStr">
        <is>
          <t>NestJS/Express/Fastify-style</t>
        </is>
      </c>
      <c r="D5" s="4" t="inlineStr">
        <is>
          <t>Both</t>
        </is>
      </c>
      <c r="E5" s="4" t="inlineStr">
        <is>
          <t>Compare AI service vs application service patterns</t>
        </is>
      </c>
      <c r="F5" s="4" t="inlineStr">
        <is>
          <t>Planned</t>
        </is>
      </c>
    </row>
    <row r="6">
      <c r="A6" s="4" t="inlineStr">
        <is>
          <t>Parsing</t>
        </is>
      </c>
      <c r="B6" s="4" t="inlineStr">
        <is>
          <t>Python document ecosystem</t>
        </is>
      </c>
      <c r="C6" s="4" t="inlineStr">
        <is>
          <t>Node parsers/fetch</t>
        </is>
      </c>
      <c r="D6" s="4" t="inlineStr">
        <is>
          <t>Python</t>
        </is>
      </c>
      <c r="E6" s="4" t="inlineStr">
        <is>
          <t>Broader document processing ecosystem</t>
        </is>
      </c>
      <c r="F6" s="4" t="inlineStr">
        <is>
          <t>Planned</t>
        </is>
      </c>
    </row>
    <row r="7">
      <c r="A7" s="4" t="inlineStr">
        <is>
          <t>Embeddings</t>
        </is>
      </c>
      <c r="B7" s="4" t="inlineStr">
        <is>
          <t>Provider SDK + local models</t>
        </is>
      </c>
      <c r="C7" s="4" t="inlineStr">
        <is>
          <t>Provider SDK</t>
        </is>
      </c>
      <c r="D7" s="4" t="inlineStr">
        <is>
          <t>Python</t>
        </is>
      </c>
      <c r="E7" s="4" t="inlineStr">
        <is>
          <t>Best for model experimentation</t>
        </is>
      </c>
      <c r="F7" s="4" t="inlineStr">
        <is>
          <t>Planned</t>
        </is>
      </c>
    </row>
    <row r="8">
      <c r="A8" s="4" t="inlineStr">
        <is>
          <t>Vector store</t>
        </is>
      </c>
      <c r="B8" s="4" t="inlineStr">
        <is>
          <t>pgvector/Qdrant-compatible</t>
        </is>
      </c>
      <c r="C8" s="4" t="inlineStr">
        <is>
          <t>Same DB client</t>
        </is>
      </c>
      <c r="D8" s="4" t="inlineStr">
        <is>
          <t>Both</t>
        </is>
      </c>
      <c r="E8" s="4" t="inlineStr">
        <is>
          <t>Same retrieval concepts, different client layers</t>
        </is>
      </c>
      <c r="F8" s="4" t="inlineStr">
        <is>
          <t>Planned</t>
        </is>
      </c>
    </row>
    <row r="9">
      <c r="A9" s="4" t="inlineStr">
        <is>
          <t>Keyword search</t>
        </is>
      </c>
      <c r="B9" s="4" t="inlineStr">
        <is>
          <t>BM25 / PostgreSQL FTS</t>
        </is>
      </c>
      <c r="C9" s="4" t="inlineStr">
        <is>
          <t>PostgreSQL FTS</t>
        </is>
      </c>
      <c r="D9" s="4" t="inlineStr">
        <is>
          <t>Both</t>
        </is>
      </c>
      <c r="E9" s="4" t="inlineStr">
        <is>
          <t>Hybrid retrieval needs both signals</t>
        </is>
      </c>
      <c r="F9" s="4" t="inlineStr">
        <is>
          <t>Planned</t>
        </is>
      </c>
    </row>
    <row r="10">
      <c r="A10" s="4" t="inlineStr">
        <is>
          <t>LLM</t>
        </is>
      </c>
      <c r="B10" s="4" t="inlineStr">
        <is>
          <t>Provider SDK / abstraction</t>
        </is>
      </c>
      <c r="C10" s="4" t="inlineStr">
        <is>
          <t>Provider SDK / abstraction</t>
        </is>
      </c>
      <c r="D10" s="4" t="inlineStr">
        <is>
          <t>Both</t>
        </is>
      </c>
      <c r="E10" s="4" t="inlineStr">
        <is>
          <t>Provider-neutral generation contract</t>
        </is>
      </c>
      <c r="F10" s="4" t="inlineStr">
        <is>
          <t>Planned</t>
        </is>
      </c>
    </row>
    <row r="11">
      <c r="A11" s="4" t="inlineStr">
        <is>
          <t>Evaluation</t>
        </is>
      </c>
      <c r="B11" s="4" t="inlineStr">
        <is>
          <t>Python eval tooling</t>
        </is>
      </c>
      <c r="C11" s="4" t="inlineStr">
        <is>
          <t>TS evaluation service</t>
        </is>
      </c>
      <c r="D11" s="4" t="inlineStr">
        <is>
          <t>Python</t>
        </is>
      </c>
      <c r="E11" s="4" t="inlineStr">
        <is>
          <t>Rich experimentation and analysis</t>
        </is>
      </c>
      <c r="F11" s="4" t="inlineStr">
        <is>
          <t>Planned</t>
        </is>
      </c>
    </row>
    <row r="12">
      <c r="A12" s="4" t="inlineStr">
        <is>
          <t>Observability</t>
        </is>
      </c>
      <c r="B12" s="4" t="inlineStr">
        <is>
          <t>OpenTelemetry</t>
        </is>
      </c>
      <c r="C12" s="4" t="inlineStr">
        <is>
          <t>OpenTelemetry</t>
        </is>
      </c>
      <c r="D12" s="4" t="inlineStr">
        <is>
          <t>Both</t>
        </is>
      </c>
      <c r="E12" s="4" t="inlineStr">
        <is>
          <t>Same cross-language telemetry model</t>
        </is>
      </c>
      <c r="F12" s="4" t="inlineStr">
        <is>
          <t>Planned</t>
        </is>
      </c>
    </row>
    <row r="13">
      <c r="A13" s="4" t="inlineStr">
        <is>
          <t>Deployment</t>
        </is>
      </c>
      <c r="B13" s="4" t="inlineStr">
        <is>
          <t>Docker</t>
        </is>
      </c>
      <c r="C13" s="4" t="inlineStr">
        <is>
          <t>Docker</t>
        </is>
      </c>
      <c r="D13" s="4" t="inlineStr">
        <is>
          <t>Both</t>
        </is>
      </c>
      <c r="E13" s="4" t="inlineStr">
        <is>
          <t>Production parity</t>
        </is>
      </c>
      <c r="F13" s="4" t="inlineStr">
        <is>
          <t>Planned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RAG Project Progress Dashboard</t>
        </is>
      </c>
    </row>
    <row r="3">
      <c r="A3" s="14" t="inlineStr">
        <is>
          <t>Tracking model</t>
        </is>
      </c>
      <c r="B3" s="15" t="inlineStr">
        <is>
          <t>Update Status + Progress % in Master Checklist; dashboard formulas update automatically.</t>
        </is>
      </c>
    </row>
    <row r="5">
      <c r="A5" s="16" t="inlineStr">
        <is>
          <t>Area</t>
        </is>
      </c>
      <c r="B5" s="16" t="inlineStr">
        <is>
          <t>Milestones</t>
        </is>
      </c>
      <c r="C5" s="16" t="inlineStr">
        <is>
          <t>Completed</t>
        </is>
      </c>
      <c r="D5" s="16" t="inlineStr">
        <is>
          <t>In Progress</t>
        </is>
      </c>
      <c r="E5" s="16" t="inlineStr">
        <is>
          <t>Blocked</t>
        </is>
      </c>
      <c r="F5" s="16" t="inlineStr">
        <is>
          <t>Average Progress</t>
        </is>
      </c>
    </row>
    <row r="6">
      <c r="A6" s="17" t="inlineStr">
        <is>
          <t>Foundation</t>
        </is>
      </c>
      <c r="B6" s="17">
        <f>COUNTIF('Master Checklist'!B:B,"Foundation")</f>
        <v/>
      </c>
      <c r="C6" s="17">
        <f>COUNTIFS('Master Checklist'!B:B,"Foundation",'Master Checklist'!G:G,"Complete")</f>
        <v/>
      </c>
      <c r="D6" s="17">
        <f>COUNTIFS('Master Checklist'!B:B,"Foundation",'Master Checklist'!G:G,"In Progress")</f>
        <v/>
      </c>
      <c r="E6" s="17">
        <f>COUNTIFS('Master Checklist'!B:B,"Foundation",'Master Checklist'!G:G,"Blocked")</f>
        <v/>
      </c>
      <c r="F6" s="18">
        <f>IFERROR(AVERAGEIF('Master Checklist'!B:B,"Foundation",'Master Checklist'!H:H),0)</f>
        <v/>
      </c>
    </row>
    <row r="7">
      <c r="A7" s="17" t="inlineStr">
        <is>
          <t>Ingestion &amp; Indexing</t>
        </is>
      </c>
      <c r="B7" s="17">
        <f>COUNTIF('Master Checklist'!B:B,"Ingestion &amp; Indexing")</f>
        <v/>
      </c>
      <c r="C7" s="17">
        <f>COUNTIFS('Master Checklist'!B:B,"Ingestion &amp; Indexing",'Master Checklist'!G:G,"Complete")</f>
        <v/>
      </c>
      <c r="D7" s="17">
        <f>COUNTIFS('Master Checklist'!B:B,"Ingestion &amp; Indexing",'Master Checklist'!G:G,"In Progress")</f>
        <v/>
      </c>
      <c r="E7" s="17">
        <f>COUNTIFS('Master Checklist'!B:B,"Ingestion &amp; Indexing",'Master Checklist'!G:G,"Blocked")</f>
        <v/>
      </c>
      <c r="F7" s="18">
        <f>IFERROR(AVERAGEIF('Master Checklist'!B:B,"Ingestion &amp; Indexing",'Master Checklist'!H:H),0)</f>
        <v/>
      </c>
    </row>
    <row r="8">
      <c r="A8" s="17" t="inlineStr">
        <is>
          <t>Retrieval &amp; Generation</t>
        </is>
      </c>
      <c r="B8" s="17">
        <f>COUNTIF('Master Checklist'!B:B,"Retrieval &amp; Generation")</f>
        <v/>
      </c>
      <c r="C8" s="17">
        <f>COUNTIFS('Master Checklist'!B:B,"Retrieval &amp; Generation",'Master Checklist'!G:G,"Complete")</f>
        <v/>
      </c>
      <c r="D8" s="17">
        <f>COUNTIFS('Master Checklist'!B:B,"Retrieval &amp; Generation",'Master Checklist'!G:G,"In Progress")</f>
        <v/>
      </c>
      <c r="E8" s="17">
        <f>COUNTIFS('Master Checklist'!B:B,"Retrieval &amp; Generation",'Master Checklist'!G:G,"Blocked")</f>
        <v/>
      </c>
      <c r="F8" s="18">
        <f>IFERROR(AVERAGEIF('Master Checklist'!B:B,"Retrieval &amp; Generation",'Master Checklist'!H:H),0)</f>
        <v/>
      </c>
    </row>
    <row r="9">
      <c r="A9" s="17" t="inlineStr">
        <is>
          <t>Feedback &amp; Improvement</t>
        </is>
      </c>
      <c r="B9" s="17">
        <f>COUNTIF('Master Checklist'!B:B,"Feedback &amp; Improvement")</f>
        <v/>
      </c>
      <c r="C9" s="17">
        <f>COUNTIFS('Master Checklist'!B:B,"Feedback &amp; Improvement",'Master Checklist'!G:G,"Complete")</f>
        <v/>
      </c>
      <c r="D9" s="17">
        <f>COUNTIFS('Master Checklist'!B:B,"Feedback &amp; Improvement",'Master Checklist'!G:G,"In Progress")</f>
        <v/>
      </c>
      <c r="E9" s="17">
        <f>COUNTIFS('Master Checklist'!B:B,"Feedback &amp; Improvement",'Master Checklist'!G:G,"Blocked")</f>
        <v/>
      </c>
      <c r="F9" s="18">
        <f>IFERROR(AVERAGEIF('Master Checklist'!B:B,"Feedback &amp; Improvement",'Master Checklist'!H:H),0)</f>
        <v/>
      </c>
    </row>
    <row r="10">
      <c r="A10" s="17" t="inlineStr">
        <is>
          <t>Production Engineering</t>
        </is>
      </c>
      <c r="B10" s="17">
        <f>COUNTIF('Master Checklist'!B:B,"Production Engineering")</f>
        <v/>
      </c>
      <c r="C10" s="17">
        <f>COUNTIFS('Master Checklist'!B:B,"Production Engineering",'Master Checklist'!G:G,"Complete")</f>
        <v/>
      </c>
      <c r="D10" s="17">
        <f>COUNTIFS('Master Checklist'!B:B,"Production Engineering",'Master Checklist'!G:G,"In Progress")</f>
        <v/>
      </c>
      <c r="E10" s="17">
        <f>COUNTIFS('Master Checklist'!B:B,"Production Engineering",'Master Checklist'!G:G,"Blocked")</f>
        <v/>
      </c>
      <c r="F10" s="18">
        <f>IFERROR(AVERAGEIF('Master Checklist'!B:B,"Production Engineering",'Master Checklist'!H:H),0)</f>
        <v/>
      </c>
    </row>
    <row r="11">
      <c r="A11" s="17" t="inlineStr">
        <is>
          <t>Enterprise RAG</t>
        </is>
      </c>
      <c r="B11" s="17">
        <f>COUNTIF('Master Checklist'!B:B,"Enterprise RAG")</f>
        <v/>
      </c>
      <c r="C11" s="17">
        <f>COUNTIFS('Master Checklist'!B:B,"Enterprise RAG",'Master Checklist'!G:G,"Complete")</f>
        <v/>
      </c>
      <c r="D11" s="17">
        <f>COUNTIFS('Master Checklist'!B:B,"Enterprise RAG",'Master Checklist'!G:G,"In Progress")</f>
        <v/>
      </c>
      <c r="E11" s="17">
        <f>COUNTIFS('Master Checklist'!B:B,"Enterprise RAG",'Master Checklist'!G:G,"Blocked")</f>
        <v/>
      </c>
      <c r="F11" s="18">
        <f>IFERROR(AVERAGEIF('Master Checklist'!B:B,"Enterprise RAG",'Master Checklist'!H:H),0)</f>
        <v/>
      </c>
    </row>
    <row r="12">
      <c r="A12" s="17" t="inlineStr">
        <is>
          <t>Advanced RAG</t>
        </is>
      </c>
      <c r="B12" s="17">
        <f>COUNTIF('Master Checklist'!B:B,"Advanced RAG")</f>
        <v/>
      </c>
      <c r="C12" s="17">
        <f>COUNTIFS('Master Checklist'!B:B,"Advanced RAG",'Master Checklist'!G:G,"Complete")</f>
        <v/>
      </c>
      <c r="D12" s="17">
        <f>COUNTIFS('Master Checklist'!B:B,"Advanced RAG",'Master Checklist'!G:G,"In Progress")</f>
        <v/>
      </c>
      <c r="E12" s="17">
        <f>COUNTIFS('Master Checklist'!B:B,"Advanced RAG",'Master Checklist'!G:G,"Blocked")</f>
        <v/>
      </c>
      <c r="F12" s="18">
        <f>IFERROR(AVERAGEIF('Master Checklist'!B:B,"Advanced RAG",'Master Checklist'!H:H),0)</f>
        <v/>
      </c>
    </row>
    <row r="13">
      <c r="A13" s="17" t="inlineStr">
        <is>
          <t>Agentic Evolution</t>
        </is>
      </c>
      <c r="B13" s="17">
        <f>COUNTIF('Master Checklist'!B:B,"Agentic Evolution")</f>
        <v/>
      </c>
      <c r="C13" s="17">
        <f>COUNTIFS('Master Checklist'!B:B,"Agentic Evolution",'Master Checklist'!G:G,"Complete")</f>
        <v/>
      </c>
      <c r="D13" s="17">
        <f>COUNTIFS('Master Checklist'!B:B,"Agentic Evolution",'Master Checklist'!G:G,"In Progress")</f>
        <v/>
      </c>
      <c r="E13" s="17">
        <f>COUNTIFS('Master Checklist'!B:B,"Agentic Evolution",'Master Checklist'!G:G,"Blocked")</f>
        <v/>
      </c>
      <c r="F13" s="18">
        <f>IFERROR(AVERAGEIF('Master Checklist'!B:B,"Agentic Evolution",'Master Checklist'!H:H),0)</f>
        <v/>
      </c>
    </row>
    <row r="15">
      <c r="A15" s="19" t="inlineStr">
        <is>
          <t>Overall</t>
        </is>
      </c>
      <c r="B15" s="20">
        <f>COUNTA('Master Checklist'!A5:A31)</f>
        <v/>
      </c>
      <c r="C15" s="20">
        <f>COUNTIF('Master Checklist'!G5:G31,"Complete")</f>
        <v/>
      </c>
      <c r="D15" s="20">
        <f>COUNTIF('Master Checklist'!G5:G31,"In Progress")</f>
        <v/>
      </c>
      <c r="E15" s="20">
        <f>COUNTIF('Master Checklist'!G5:G31,"Blocked")</f>
        <v/>
      </c>
      <c r="F15" s="21">
        <f>AVERAGE('Master Checklist'!H5:H31)</f>
        <v/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00" customWidth="1" min="3" max="3"/>
  </cols>
  <sheetData>
    <row r="1">
      <c r="A1" s="1" t="inlineStr">
        <is>
          <t>Project Engineering Principles</t>
        </is>
      </c>
    </row>
    <row r="3">
      <c r="A3" s="22" t="inlineStr">
        <is>
          <t>#</t>
        </is>
      </c>
      <c r="B3" s="22" t="inlineStr">
        <is>
          <t>Principle</t>
        </is>
      </c>
      <c r="C3" s="22" t="inlineStr">
        <is>
          <t>How we will apply it</t>
        </is>
      </c>
    </row>
    <row r="4">
      <c r="A4" s="4" t="inlineStr">
        <is>
          <t>1</t>
        </is>
      </c>
      <c r="B4" s="4" t="inlineStr">
        <is>
          <t>Production quality from the beginning</t>
        </is>
      </c>
      <c r="C4" s="4" t="inlineStr">
        <is>
          <t>No throwaway code: typed contracts, modular design, tests, logging, configuration, error handling and documentation are introduced from the first milestone.</t>
        </is>
      </c>
    </row>
    <row r="5">
      <c r="A5" s="4" t="inlineStr">
        <is>
          <t>2</t>
        </is>
      </c>
      <c r="B5" s="4" t="inlineStr">
        <is>
          <t>Understand before abstracting</t>
        </is>
      </c>
      <c r="C5" s="4" t="inlineStr">
        <is>
          <t>Implement important RAG mechanics directly before relying heavily on frameworks such as LangChain/LlamaIndex.</t>
        </is>
      </c>
    </row>
    <row r="6">
      <c r="A6" s="4" t="inlineStr">
        <is>
          <t>3</t>
        </is>
      </c>
      <c r="B6" s="4" t="inlineStr">
        <is>
          <t>Two implementations per major concept</t>
        </is>
      </c>
      <c r="C6" s="4" t="inlineStr">
        <is>
          <t>Use two concrete approaches wherever practical so trade-offs become explicit rather than theoretical.</t>
        </is>
      </c>
    </row>
    <row r="7">
      <c r="A7" s="4" t="inlineStr">
        <is>
          <t>4</t>
        </is>
      </c>
      <c r="B7" s="4" t="inlineStr">
        <is>
          <t>Python + TypeScript intentionally</t>
        </is>
      </c>
      <c r="C7" s="4" t="inlineStr">
        <is>
          <t>Python is primary for document/NLP/RAG experimentation; TypeScript is primary where application/API/streaming/agent integration is advantageous.</t>
        </is>
      </c>
    </row>
    <row r="8">
      <c r="A8" s="4" t="inlineStr">
        <is>
          <t>5</t>
        </is>
      </c>
      <c r="B8" s="4" t="inlineStr">
        <is>
          <t>Measure everything important</t>
        </is>
      </c>
      <c r="C8" s="4" t="inlineStr">
        <is>
          <t>Latency, cost, retrieval quality, answer quality, failure rate and throughput become first-class engineering signals.</t>
        </is>
      </c>
    </row>
    <row r="9">
      <c r="A9" s="4" t="inlineStr">
        <is>
          <t>6</t>
        </is>
      </c>
      <c r="B9" s="4" t="inlineStr">
        <is>
          <t>Security is not an afterthought</t>
        </is>
      </c>
      <c r="C9" s="4" t="inlineStr">
        <is>
          <t>Tenant isolation, authorization, prompt-injection defense, PII controls and secrets management are designed into the architecture.</t>
        </is>
      </c>
    </row>
    <row r="10">
      <c r="A10" s="4" t="inlineStr">
        <is>
          <t>7</t>
        </is>
      </c>
      <c r="B10" s="4" t="inlineStr">
        <is>
          <t>Every milestone has an exit criterion</t>
        </is>
      </c>
      <c r="C10" s="4" t="inlineStr">
        <is>
          <t>We don't move forward merely because code runs; the milestone must be testable and demonstrably complete.</t>
        </is>
      </c>
    </row>
    <row r="11">
      <c r="A11" s="4" t="inlineStr">
        <is>
          <t>8</t>
        </is>
      </c>
      <c r="B11" s="4" t="inlineStr">
        <is>
          <t>Evolve the same system</t>
        </is>
      </c>
      <c r="C11" s="4" t="inlineStr">
        <is>
          <t>The project starts as a small RAG application and evolves into an enterprise-grade RAG platform rather than becoming disconnected demos.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2026-08-29T04:52:09Z</dcterms:created>
  <dcterms:modified xmlns:dcterms="http://purl.org/dc/terms/" xmlns:xsi="http://www.w3.org/2001/XMLSchema-instance" xsi:type="dcterms:W3CDTF">2026-08-29T04:52:09Z</dcterms:modified>
</cp:coreProperties>
</file>